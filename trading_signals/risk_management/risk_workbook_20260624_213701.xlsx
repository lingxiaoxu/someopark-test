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Trend'!$A$4:$A$164</f>
            </numRef>
          </cat>
          <val>
            <numRef>
              <f>'NAV Trend'!$B$4:$B$164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2026-06-23  ·  Generated 2026-06-24T21:37:45  ·  Scope: MRPT+MTFS pairs book (model-based, broker-reconciled)</t>
        </is>
      </c>
    </row>
    <row r="4">
      <c r="A4" s="3" t="inlineStr">
        <is>
          <t>NAV (equity)</t>
        </is>
      </c>
      <c r="B4" s="4" t="n">
        <v>1141400.14</v>
      </c>
    </row>
    <row r="5">
      <c r="A5" s="3" t="inlineStr">
        <is>
          <t>Gross leverage (x)</t>
        </is>
      </c>
      <c r="B5" s="5" t="n">
        <v>1.333</v>
      </c>
    </row>
    <row r="6">
      <c r="A6" s="3" t="inlineStr">
        <is>
          <t>Net leverage (x)</t>
        </is>
      </c>
      <c r="B6" s="6" t="n">
        <v>0.194</v>
      </c>
    </row>
    <row r="7">
      <c r="A7" s="3" t="inlineStr">
        <is>
          <t>Net market beta (target≈0)</t>
        </is>
      </c>
      <c r="B7" s="5" t="n">
        <v>1.133</v>
      </c>
    </row>
    <row r="8">
      <c r="A8" s="3" t="inlineStr">
        <is>
          <t>VaR 95% 1-day ($)</t>
        </is>
      </c>
      <c r="B8" s="4" t="n">
        <v>31954.22</v>
      </c>
    </row>
    <row r="9">
      <c r="A9" s="3" t="inlineStr">
        <is>
          <t>VaR 95% 1-day (% NAV)</t>
        </is>
      </c>
      <c r="B9" s="5" t="n">
        <v>2.8</v>
      </c>
    </row>
    <row r="10">
      <c r="A10" s="3" t="inlineStr">
        <is>
          <t>Annual vol (% NAV)</t>
        </is>
      </c>
      <c r="B10" s="5" t="n">
        <v>27.02</v>
      </c>
    </row>
    <row r="11">
      <c r="A11" s="3" t="inlineStr">
        <is>
          <t>Sharpe (annual)</t>
        </is>
      </c>
      <c r="B11" s="5" t="n">
        <v>1.464</v>
      </c>
    </row>
    <row r="12">
      <c r="A12" s="3" t="inlineStr">
        <is>
          <t>PSR( SR&gt;0 )</t>
        </is>
      </c>
      <c r="B12" s="6" t="n">
        <v>0.8808</v>
      </c>
    </row>
    <row r="13">
      <c r="A13" s="3" t="inlineStr">
        <is>
          <t>CDaR 95% (%)</t>
        </is>
      </c>
      <c r="B13" s="5" t="n">
        <v>8.699999999999999</v>
      </c>
    </row>
    <row r="14">
      <c r="A14" s="3" t="inlineStr">
        <is>
          <t>Kelly full / half (x)</t>
        </is>
      </c>
      <c r="B14" s="7" t="inlineStr">
        <is>
          <t>5.02 / 2.51</t>
        </is>
      </c>
    </row>
    <row r="15">
      <c r="A15" s="3" t="inlineStr">
        <is>
          <t>Actual gross leverage (x)</t>
        </is>
      </c>
      <c r="B15" s="5" t="n">
        <v>1.333</v>
      </c>
    </row>
    <row r="16">
      <c r="A16" s="3" t="inlineStr">
        <is>
          <t>Max single-name</t>
        </is>
      </c>
      <c r="B16" s="7" t="inlineStr">
        <is>
          <t>IRM (20.38% NAV)</t>
        </is>
      </c>
    </row>
    <row r="17">
      <c r="A17" s="3" t="inlineStr">
        <is>
          <t>Max sector net (% gross)</t>
        </is>
      </c>
      <c r="B17" s="5" t="n">
        <v>14.64</v>
      </c>
    </row>
    <row r="18">
      <c r="A18" s="3" t="inlineStr">
        <is>
          <t>Open pairs</t>
        </is>
      </c>
      <c r="B18" s="5" t="n">
        <v>9</v>
      </c>
    </row>
    <row r="19">
      <c r="A19" s="3" t="inlineStr">
        <is>
          <t>Limit breaches</t>
        </is>
      </c>
      <c r="B19" s="5" t="n">
        <v>5</v>
      </c>
    </row>
    <row r="20">
      <c r="A20" s="3" t="inlineStr">
        <is>
          <t>Worst breach</t>
        </is>
      </c>
      <c r="B20" s="7" t="inlineStr">
        <is>
          <t>net_market_beta:combined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256586.95</v>
      </c>
      <c r="C5" s="4" t="n">
        <v>769481.89</v>
      </c>
      <c r="D5" s="4" t="n">
        <v>252416.46</v>
      </c>
      <c r="E5" s="11" t="n">
        <v>0</v>
      </c>
    </row>
    <row r="6">
      <c r="A6" s="12" t="inlineStr">
        <is>
          <t>Restricted Cash 受限现金 (PB 102%)</t>
        </is>
      </c>
      <c r="B6" s="13" t="n">
        <v>662867.01</v>
      </c>
      <c r="C6" s="13" t="n">
        <v>176311.36</v>
      </c>
      <c r="D6" s="13" t="n">
        <v>348325.82</v>
      </c>
      <c r="E6" s="13" t="n">
        <v>1565051.18</v>
      </c>
    </row>
    <row r="7">
      <c r="A7" s="10" t="inlineStr">
        <is>
          <t>Long Securities 多头证券</t>
        </is>
      </c>
      <c r="B7" s="4" t="n">
        <v>871815.8</v>
      </c>
      <c r="C7" s="4" t="n">
        <v>369900.54</v>
      </c>
      <c r="D7" s="4" t="n">
        <v>861795.75</v>
      </c>
      <c r="E7" s="4" t="n">
        <v>1875818.91</v>
      </c>
    </row>
    <row r="8">
      <c r="A8" s="14" t="inlineStr">
        <is>
          <t>Total Assets 总资产</t>
        </is>
      </c>
      <c r="B8" s="13" t="n">
        <v>1791269.76</v>
      </c>
      <c r="C8" s="13" t="n">
        <v>1315693.79</v>
      </c>
      <c r="D8" s="13" t="n">
        <v>1462538.03</v>
      </c>
      <c r="E8" s="13" t="n">
        <v>3440870.09</v>
      </c>
    </row>
    <row r="9">
      <c r="A9" s="10" t="inlineStr">
        <is>
          <t>Short Securities 空头证券 (义务)</t>
        </is>
      </c>
      <c r="B9" s="4" t="n">
        <v>649869.62</v>
      </c>
      <c r="C9" s="4" t="n">
        <v>172854.27</v>
      </c>
      <c r="D9" s="4" t="n">
        <v>341495.9</v>
      </c>
      <c r="E9" s="4" t="n">
        <v>1534363.9</v>
      </c>
    </row>
    <row r="10">
      <c r="A10" s="12" t="inlineStr">
        <is>
          <t>Margin Loan 保证金借款</t>
        </is>
      </c>
      <c r="B10" s="15" t="n">
        <v>0</v>
      </c>
      <c r="C10" s="15" t="n">
        <v>0</v>
      </c>
      <c r="D10" s="15" t="n">
        <v>0</v>
      </c>
      <c r="E10" s="13" t="n">
        <v>909715.15</v>
      </c>
    </row>
    <row r="11">
      <c r="A11" s="16" t="inlineStr">
        <is>
          <t>Total Liabilities 总负债</t>
        </is>
      </c>
      <c r="B11" s="4" t="n">
        <v>649869.62</v>
      </c>
      <c r="C11" s="4" t="n">
        <v>172854.27</v>
      </c>
      <c r="D11" s="4" t="n">
        <v>341495.9</v>
      </c>
      <c r="E11" s="4" t="n">
        <v>2444079.05</v>
      </c>
    </row>
    <row r="12">
      <c r="A12" s="14" t="inlineStr">
        <is>
          <t>NAV (Equity) 净值 = TA - TL</t>
        </is>
      </c>
      <c r="B12" s="13" t="n">
        <v>1141400.14</v>
      </c>
      <c r="C12" s="13" t="n">
        <v>1142839.52</v>
      </c>
      <c r="D12" s="13" t="n">
        <v>1121042.13</v>
      </c>
      <c r="E12" s="13" t="n">
        <v>996791.04</v>
      </c>
    </row>
    <row r="13">
      <c r="A13" s="10" t="inlineStr">
        <is>
          <t>Gross Leverage 总杠杆 (x)</t>
        </is>
      </c>
      <c r="B13" s="7" t="n">
        <v>1.333</v>
      </c>
      <c r="C13" s="7" t="n">
        <v>0.475</v>
      </c>
      <c r="D13" s="7" t="n">
        <v>1.073</v>
      </c>
      <c r="E13" s="7" t="n">
        <v>3.421</v>
      </c>
    </row>
    <row r="14">
      <c r="A14" s="12" t="inlineStr">
        <is>
          <t>Net Leverage 净杠杆 (x)</t>
        </is>
      </c>
      <c r="B14" s="17" t="n">
        <v>0.194</v>
      </c>
      <c r="C14" s="17" t="n">
        <v>0.172</v>
      </c>
      <c r="D14" s="17" t="n">
        <v>0.464</v>
      </c>
      <c r="E14" s="17" t="n">
        <v>0.343</v>
      </c>
    </row>
    <row r="15">
      <c r="A15" s="10" t="inlineStr">
        <is>
          <t>PM Requirement (20%)</t>
        </is>
      </c>
      <c r="B15" s="4" t="n">
        <v>304337.08</v>
      </c>
      <c r="C15" s="4" t="n">
        <v>108550.96</v>
      </c>
      <c r="D15" s="4" t="n">
        <v>240658.33</v>
      </c>
      <c r="E15" s="4" t="n">
        <v>682036.5600000001</v>
      </c>
    </row>
    <row r="16">
      <c r="A16" s="12" t="inlineStr">
        <is>
          <t>Excess Liquidity 超额流动性</t>
        </is>
      </c>
      <c r="B16" s="13" t="n">
        <v>837063.0600000001</v>
      </c>
      <c r="C16" s="13" t="n">
        <v>1034288.56</v>
      </c>
      <c r="D16" s="13" t="n">
        <v>880383.8</v>
      </c>
      <c r="E16" s="13" t="n">
        <v>314754.48</v>
      </c>
    </row>
    <row r="17">
      <c r="A17" s="10" t="inlineStr">
        <is>
          <t>Balance Check (≈0)</t>
        </is>
      </c>
      <c r="B17" s="7" t="n">
        <v>-0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871815.8</v>
      </c>
      <c r="C21" s="4" t="n">
        <v>369900.54</v>
      </c>
      <c r="D21" s="4" t="n">
        <v>861795.75</v>
      </c>
      <c r="E21" s="4" t="n">
        <v>996791.04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871815.8</v>
      </c>
      <c r="C23" s="4" t="n">
        <v>369900.54</v>
      </c>
      <c r="D23" s="4" t="n">
        <v>861795.75</v>
      </c>
      <c r="E23" s="4" t="n">
        <v>1875818.91</v>
      </c>
    </row>
    <row r="24">
      <c r="A24" s="12" t="inlineStr">
        <is>
          <t>Long Book — Margin Loan 融资</t>
        </is>
      </c>
      <c r="B24" s="15" t="n">
        <v>0</v>
      </c>
      <c r="C24" s="15" t="n">
        <v>0</v>
      </c>
      <c r="D24" s="15" t="n">
        <v>0</v>
      </c>
      <c r="E24" s="13" t="n">
        <v>879027.87</v>
      </c>
    </row>
    <row r="25">
      <c r="A25" s="16" t="inlineStr">
        <is>
          <t>Long Book — NAV</t>
        </is>
      </c>
      <c r="B25" s="4" t="n">
        <v>871815.8</v>
      </c>
      <c r="C25" s="4" t="n">
        <v>369900.54</v>
      </c>
      <c r="D25" s="4" t="n">
        <v>861795.75</v>
      </c>
      <c r="E25" s="4" t="n">
        <v>996791.04</v>
      </c>
    </row>
    <row r="26">
      <c r="A26" s="12" t="inlineStr">
        <is>
          <t>Short Book — Allocated Capital 分配资本</t>
        </is>
      </c>
      <c r="B26" s="13" t="n">
        <v>12997.39</v>
      </c>
      <c r="C26" s="13" t="n">
        <v>3457.09</v>
      </c>
      <c r="D26" s="13" t="n">
        <v>6829.92</v>
      </c>
      <c r="E26" s="15" t="n">
        <v>0</v>
      </c>
    </row>
    <row r="27">
      <c r="A27" s="10" t="inlineStr">
        <is>
          <t>Short Book — Collateral 担保金</t>
        </is>
      </c>
      <c r="B27" s="4" t="n">
        <v>12997.39</v>
      </c>
      <c r="C27" s="4" t="n">
        <v>3457.09</v>
      </c>
      <c r="D27" s="4" t="n">
        <v>6829.92</v>
      </c>
      <c r="E27" s="11" t="n">
        <v>0</v>
      </c>
    </row>
    <row r="28">
      <c r="A28" s="12" t="inlineStr">
        <is>
          <t>Short Book — Short Proceeds 做空收入</t>
        </is>
      </c>
      <c r="B28" s="13" t="n">
        <v>649869.62</v>
      </c>
      <c r="C28" s="13" t="n">
        <v>172854.27</v>
      </c>
      <c r="D28" s="13" t="n">
        <v>341495.9</v>
      </c>
      <c r="E28" s="13" t="n">
        <v>1534363.9</v>
      </c>
    </row>
    <row r="29">
      <c r="A29" s="10" t="inlineStr">
        <is>
          <t>Short Book — Market Value 市值(负债)</t>
        </is>
      </c>
      <c r="B29" s="4" t="n">
        <v>649869.62</v>
      </c>
      <c r="C29" s="4" t="n">
        <v>172854.27</v>
      </c>
      <c r="D29" s="4" t="n">
        <v>341495.9</v>
      </c>
      <c r="E29" s="4" t="n">
        <v>1534363.9</v>
      </c>
    </row>
    <row r="30">
      <c r="A30" s="12" t="inlineStr">
        <is>
          <t>Short Book — Margin Loan 融资(2%)</t>
        </is>
      </c>
      <c r="B30" s="15" t="n">
        <v>0</v>
      </c>
      <c r="C30" s="15" t="n">
        <v>0</v>
      </c>
      <c r="D30" s="15" t="n">
        <v>0</v>
      </c>
      <c r="E30" s="13" t="n">
        <v>30687.28</v>
      </c>
    </row>
    <row r="31">
      <c r="A31" s="16" t="inlineStr">
        <is>
          <t>Short Book — NAV</t>
        </is>
      </c>
      <c r="B31" s="4" t="n">
        <v>12997.39</v>
      </c>
      <c r="C31" s="4" t="n">
        <v>3457.09</v>
      </c>
      <c r="D31" s="4" t="n">
        <v>6829.92</v>
      </c>
      <c r="E31" s="11" t="n">
        <v>0</v>
      </c>
    </row>
    <row r="32">
      <c r="A32" s="12" t="inlineStr">
        <is>
          <t>Unallocated Cash 未分配现金</t>
        </is>
      </c>
      <c r="B32" s="13" t="n">
        <v>256586.95</v>
      </c>
      <c r="C32" s="13" t="n">
        <v>769481.89</v>
      </c>
      <c r="D32" s="13" t="n">
        <v>252416.46</v>
      </c>
      <c r="E32" s="15" t="n">
        <v>0</v>
      </c>
    </row>
    <row r="33">
      <c r="A33" s="16" t="inlineStr">
        <is>
          <t>Dual-View NAV 双账户法NAV</t>
        </is>
      </c>
      <c r="B33" s="4" t="n">
        <v>1141400.14</v>
      </c>
      <c r="C33" s="4" t="n">
        <v>1142839.52</v>
      </c>
      <c r="D33" s="4" t="n">
        <v>1121042.13</v>
      </c>
      <c r="E33" s="4" t="n">
        <v>996791.04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410653.86</v>
      </c>
      <c r="C39" s="4" t="n">
        <v>580165.75</v>
      </c>
      <c r="D39" s="4" t="n">
        <v>570869.8100000001</v>
      </c>
      <c r="E39" s="4" t="n">
        <v>248694.9</v>
      </c>
    </row>
    <row r="40">
      <c r="A40" s="12" t="inlineStr">
        <is>
          <t>Restricted Cash 受限现金 (PB 102%)</t>
        </is>
      </c>
      <c r="B40" s="13" t="n">
        <v>167448.78</v>
      </c>
      <c r="C40" s="15" t="n">
        <v>0</v>
      </c>
      <c r="D40" s="15" t="n">
        <v>0</v>
      </c>
      <c r="E40" s="13" t="n">
        <v>412001.38</v>
      </c>
    </row>
    <row r="41">
      <c r="A41" s="10" t="inlineStr">
        <is>
          <t>Long Securities 多头证券</t>
        </is>
      </c>
      <c r="B41" s="4" t="n">
        <v>164789.2</v>
      </c>
      <c r="C41" s="11" t="n">
        <v>0</v>
      </c>
      <c r="D41" s="11" t="n">
        <v>0</v>
      </c>
      <c r="E41" s="4" t="n">
        <v>317297.23</v>
      </c>
    </row>
    <row r="42">
      <c r="A42" s="14" t="inlineStr">
        <is>
          <t>Total Assets 总资产</t>
        </is>
      </c>
      <c r="B42" s="13" t="n">
        <v>742891.84</v>
      </c>
      <c r="C42" s="13" t="n">
        <v>580165.75</v>
      </c>
      <c r="D42" s="13" t="n">
        <v>570869.8100000001</v>
      </c>
      <c r="E42" s="13" t="n">
        <v>977993.51</v>
      </c>
    </row>
    <row r="43">
      <c r="A43" s="10" t="inlineStr">
        <is>
          <t>Short Securities 空头证券 (义务)</t>
        </is>
      </c>
      <c r="B43" s="4" t="n">
        <v>164165.47</v>
      </c>
      <c r="C43" s="11" t="n">
        <v>0</v>
      </c>
      <c r="D43" s="11" t="n">
        <v>0</v>
      </c>
      <c r="E43" s="4" t="n">
        <v>403922.92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164165.47</v>
      </c>
      <c r="C45" s="11" t="n">
        <v>0</v>
      </c>
      <c r="D45" s="11" t="n">
        <v>0</v>
      </c>
      <c r="E45" s="4" t="n">
        <v>403922.92</v>
      </c>
    </row>
    <row r="46">
      <c r="A46" s="14" t="inlineStr">
        <is>
          <t>NAV (Equity) 净值 = TA - TL</t>
        </is>
      </c>
      <c r="B46" s="13" t="n">
        <v>578726.37</v>
      </c>
      <c r="C46" s="13" t="n">
        <v>580165.75</v>
      </c>
      <c r="D46" s="13" t="n">
        <v>570869.8100000001</v>
      </c>
      <c r="E46" s="13" t="n">
        <v>574070.59</v>
      </c>
    </row>
    <row r="47">
      <c r="A47" s="10" t="inlineStr">
        <is>
          <t>Gross Leverage 总杠杆 (x)</t>
        </is>
      </c>
      <c r="B47" s="7" t="n">
        <v>0.5679999999999999</v>
      </c>
      <c r="C47" s="7" t="n">
        <v>0</v>
      </c>
      <c r="D47" s="7" t="n">
        <v>0</v>
      </c>
      <c r="E47" s="7" t="n">
        <v>1.256</v>
      </c>
    </row>
    <row r="48">
      <c r="A48" s="12" t="inlineStr">
        <is>
          <t>Net Leverage 净杠杆 (x)</t>
        </is>
      </c>
      <c r="B48" s="17" t="n">
        <v>0.001</v>
      </c>
      <c r="C48" s="17" t="n">
        <v>0</v>
      </c>
      <c r="D48" s="17" t="n">
        <v>0</v>
      </c>
      <c r="E48" s="17" t="n">
        <v>-0.151</v>
      </c>
    </row>
    <row r="49">
      <c r="A49" s="10" t="inlineStr">
        <is>
          <t>PM Requirement (20%)</t>
        </is>
      </c>
      <c r="B49" s="4" t="n">
        <v>65790.92999999999</v>
      </c>
      <c r="C49" s="11" t="n">
        <v>0</v>
      </c>
      <c r="D49" s="11" t="n">
        <v>0</v>
      </c>
      <c r="E49" s="4" t="n">
        <v>144244.03</v>
      </c>
    </row>
    <row r="50">
      <c r="A50" s="12" t="inlineStr">
        <is>
          <t>Excess Liquidity 超额流动性</t>
        </is>
      </c>
      <c r="B50" s="13" t="n">
        <v>512935.44</v>
      </c>
      <c r="C50" s="13" t="n">
        <v>580165.75</v>
      </c>
      <c r="D50" s="13" t="n">
        <v>570869.8100000001</v>
      </c>
      <c r="E50" s="13" t="n">
        <v>429826.56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164789.2</v>
      </c>
      <c r="C55" s="11" t="n">
        <v>0</v>
      </c>
      <c r="D55" s="11" t="n">
        <v>0</v>
      </c>
      <c r="E55" s="4" t="n">
        <v>317297.23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164789.2</v>
      </c>
      <c r="C57" s="11" t="n">
        <v>0</v>
      </c>
      <c r="D57" s="11" t="n">
        <v>0</v>
      </c>
      <c r="E57" s="4" t="n">
        <v>317297.23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164789.2</v>
      </c>
      <c r="C59" s="11" t="n">
        <v>0</v>
      </c>
      <c r="D59" s="11" t="n">
        <v>0</v>
      </c>
      <c r="E59" s="4" t="n">
        <v>317297.23</v>
      </c>
    </row>
    <row r="60">
      <c r="A60" s="12" t="inlineStr">
        <is>
          <t>Short Book — Allocated Capital 分配资本</t>
        </is>
      </c>
      <c r="B60" s="13" t="n">
        <v>3283.31</v>
      </c>
      <c r="C60" s="15" t="n">
        <v>0</v>
      </c>
      <c r="D60" s="15" t="n">
        <v>0</v>
      </c>
      <c r="E60" s="13" t="n">
        <v>8078.46</v>
      </c>
    </row>
    <row r="61">
      <c r="A61" s="10" t="inlineStr">
        <is>
          <t>Short Book — Collateral 担保金</t>
        </is>
      </c>
      <c r="B61" s="4" t="n">
        <v>3283.31</v>
      </c>
      <c r="C61" s="11" t="n">
        <v>0</v>
      </c>
      <c r="D61" s="11" t="n">
        <v>0</v>
      </c>
      <c r="E61" s="4" t="n">
        <v>8078.46</v>
      </c>
    </row>
    <row r="62">
      <c r="A62" s="12" t="inlineStr">
        <is>
          <t>Short Book — Short Proceeds 做空收入</t>
        </is>
      </c>
      <c r="B62" s="13" t="n">
        <v>164165.47</v>
      </c>
      <c r="C62" s="15" t="n">
        <v>0</v>
      </c>
      <c r="D62" s="15" t="n">
        <v>0</v>
      </c>
      <c r="E62" s="13" t="n">
        <v>403922.92</v>
      </c>
    </row>
    <row r="63">
      <c r="A63" s="10" t="inlineStr">
        <is>
          <t>Short Book — Market Value 市值(负债)</t>
        </is>
      </c>
      <c r="B63" s="4" t="n">
        <v>164165.47</v>
      </c>
      <c r="C63" s="11" t="n">
        <v>0</v>
      </c>
      <c r="D63" s="11" t="n">
        <v>0</v>
      </c>
      <c r="E63" s="4" t="n">
        <v>403922.92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3283.31</v>
      </c>
      <c r="C65" s="11" t="n">
        <v>0</v>
      </c>
      <c r="D65" s="11" t="n">
        <v>0</v>
      </c>
      <c r="E65" s="4" t="n">
        <v>8078.46</v>
      </c>
    </row>
    <row r="66">
      <c r="A66" s="12" t="inlineStr">
        <is>
          <t>Unallocated Cash 未分配现金</t>
        </is>
      </c>
      <c r="B66" s="13" t="n">
        <v>410653.86</v>
      </c>
      <c r="C66" s="13" t="n">
        <v>580165.75</v>
      </c>
      <c r="D66" s="13" t="n">
        <v>570869.8100000001</v>
      </c>
      <c r="E66" s="13" t="n">
        <v>248694.9</v>
      </c>
    </row>
    <row r="67">
      <c r="A67" s="16" t="inlineStr">
        <is>
          <t>Dual-View NAV 双账户法NAV</t>
        </is>
      </c>
      <c r="B67" s="4" t="n">
        <v>578726.37</v>
      </c>
      <c r="C67" s="4" t="n">
        <v>580165.75</v>
      </c>
      <c r="D67" s="4" t="n">
        <v>570869.8100000001</v>
      </c>
      <c r="E67" s="4" t="n">
        <v>574070.59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4" t="n">
        <v>189316.14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495418.23</v>
      </c>
      <c r="C74" s="13" t="n">
        <v>176311.36</v>
      </c>
      <c r="D74" s="13" t="n">
        <v>348325.82</v>
      </c>
      <c r="E74" s="13" t="n">
        <v>1153049.79</v>
      </c>
    </row>
    <row r="75">
      <c r="A75" s="10" t="inlineStr">
        <is>
          <t>Long Securities 多头证券</t>
        </is>
      </c>
      <c r="B75" s="4" t="n">
        <v>707026.6</v>
      </c>
      <c r="C75" s="4" t="n">
        <v>369900.54</v>
      </c>
      <c r="D75" s="4" t="n">
        <v>861795.75</v>
      </c>
      <c r="E75" s="4" t="n">
        <v>1558521.68</v>
      </c>
    </row>
    <row r="76">
      <c r="A76" s="14" t="inlineStr">
        <is>
          <t>Total Assets 总资产</t>
        </is>
      </c>
      <c r="B76" s="13" t="n">
        <v>1202444.83</v>
      </c>
      <c r="C76" s="13" t="n">
        <v>735528.04</v>
      </c>
      <c r="D76" s="13" t="n">
        <v>1210121.57</v>
      </c>
      <c r="E76" s="13" t="n">
        <v>2711571.48</v>
      </c>
    </row>
    <row r="77">
      <c r="A77" s="10" t="inlineStr">
        <is>
          <t>Short Securities 空头证券 (义务)</t>
        </is>
      </c>
      <c r="B77" s="4" t="n">
        <v>485704.15</v>
      </c>
      <c r="C77" s="4" t="n">
        <v>172854.27</v>
      </c>
      <c r="D77" s="4" t="n">
        <v>341495.9</v>
      </c>
      <c r="E77" s="4" t="n">
        <v>1130440.97</v>
      </c>
    </row>
    <row r="78">
      <c r="A78" s="12" t="inlineStr">
        <is>
          <t>Margin Loan 保证金借款</t>
        </is>
      </c>
      <c r="B78" s="13" t="n">
        <v>154066.91</v>
      </c>
      <c r="C78" s="15" t="n">
        <v>0</v>
      </c>
      <c r="D78" s="13" t="n">
        <v>318453.35</v>
      </c>
      <c r="E78" s="13" t="n">
        <v>1158410.05</v>
      </c>
    </row>
    <row r="79">
      <c r="A79" s="16" t="inlineStr">
        <is>
          <t>Total Liabilities 总负债</t>
        </is>
      </c>
      <c r="B79" s="4" t="n">
        <v>639771.0600000001</v>
      </c>
      <c r="C79" s="4" t="n">
        <v>172854.27</v>
      </c>
      <c r="D79" s="4" t="n">
        <v>659949.25</v>
      </c>
      <c r="E79" s="4" t="n">
        <v>2288851.03</v>
      </c>
    </row>
    <row r="80">
      <c r="A80" s="14" t="inlineStr">
        <is>
          <t>NAV (Equity) 净值 = TA - TL</t>
        </is>
      </c>
      <c r="B80" s="13" t="n">
        <v>562673.77</v>
      </c>
      <c r="C80" s="13" t="n">
        <v>562673.77</v>
      </c>
      <c r="D80" s="13" t="n">
        <v>550172.3199999999</v>
      </c>
      <c r="E80" s="13" t="n">
        <v>422720.45</v>
      </c>
    </row>
    <row r="81">
      <c r="A81" s="10" t="inlineStr">
        <is>
          <t>Gross Leverage 总杠杆 (x)</t>
        </is>
      </c>
      <c r="B81" s="7" t="n">
        <v>2.12</v>
      </c>
      <c r="C81" s="7" t="n">
        <v>0.965</v>
      </c>
      <c r="D81" s="7" t="n">
        <v>2.187</v>
      </c>
      <c r="E81" s="7" t="n">
        <v>6.361</v>
      </c>
    </row>
    <row r="82">
      <c r="A82" s="12" t="inlineStr">
        <is>
          <t>Net Leverage 净杠杆 (x)</t>
        </is>
      </c>
      <c r="B82" s="17" t="n">
        <v>0.393</v>
      </c>
      <c r="C82" s="17" t="n">
        <v>0.35</v>
      </c>
      <c r="D82" s="17" t="n">
        <v>0.946</v>
      </c>
      <c r="E82" s="17" t="n">
        <v>1.013</v>
      </c>
    </row>
    <row r="83">
      <c r="A83" s="10" t="inlineStr">
        <is>
          <t>PM Requirement (20%)</t>
        </is>
      </c>
      <c r="B83" s="4" t="n">
        <v>238546.15</v>
      </c>
      <c r="C83" s="4" t="n">
        <v>108550.96</v>
      </c>
      <c r="D83" s="4" t="n">
        <v>240658.33</v>
      </c>
      <c r="E83" s="4" t="n">
        <v>537792.53</v>
      </c>
    </row>
    <row r="84">
      <c r="A84" s="12" t="inlineStr">
        <is>
          <t>Excess Liquidity 超额流动性</t>
        </is>
      </c>
      <c r="B84" s="13" t="n">
        <v>324127.62</v>
      </c>
      <c r="C84" s="13" t="n">
        <v>454122.81</v>
      </c>
      <c r="D84" s="13" t="n">
        <v>309513.99</v>
      </c>
      <c r="E84" s="18" t="n">
        <v>-115072.08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-0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562673.77</v>
      </c>
      <c r="C89" s="4" t="n">
        <v>369900.54</v>
      </c>
      <c r="D89" s="4" t="n">
        <v>550172.3199999999</v>
      </c>
      <c r="E89" s="4" t="n">
        <v>422720.45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707026.6</v>
      </c>
      <c r="C91" s="4" t="n">
        <v>369900.54</v>
      </c>
      <c r="D91" s="4" t="n">
        <v>861795.75</v>
      </c>
      <c r="E91" s="4" t="n">
        <v>1558521.68</v>
      </c>
    </row>
    <row r="92">
      <c r="A92" s="12" t="inlineStr">
        <is>
          <t>Long Book — Margin Loan 融资</t>
        </is>
      </c>
      <c r="B92" s="13" t="n">
        <v>144352.83</v>
      </c>
      <c r="C92" s="15" t="n">
        <v>0</v>
      </c>
      <c r="D92" s="13" t="n">
        <v>311623.43</v>
      </c>
      <c r="E92" s="13" t="n">
        <v>1135801.23</v>
      </c>
    </row>
    <row r="93">
      <c r="A93" s="16" t="inlineStr">
        <is>
          <t>Long Book — NAV</t>
        </is>
      </c>
      <c r="B93" s="4" t="n">
        <v>562673.77</v>
      </c>
      <c r="C93" s="4" t="n">
        <v>369900.54</v>
      </c>
      <c r="D93" s="4" t="n">
        <v>550172.3199999999</v>
      </c>
      <c r="E93" s="4" t="n">
        <v>422720.45</v>
      </c>
    </row>
    <row r="94">
      <c r="A94" s="12" t="inlineStr">
        <is>
          <t>Short Book — Allocated Capital 分配资本</t>
        </is>
      </c>
      <c r="B94" s="15" t="n">
        <v>0</v>
      </c>
      <c r="C94" s="13" t="n">
        <v>3457.09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4" t="n">
        <v>3457.09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485704.15</v>
      </c>
      <c r="C96" s="13" t="n">
        <v>172854.27</v>
      </c>
      <c r="D96" s="13" t="n">
        <v>341495.9</v>
      </c>
      <c r="E96" s="13" t="n">
        <v>1130440.97</v>
      </c>
    </row>
    <row r="97">
      <c r="A97" s="10" t="inlineStr">
        <is>
          <t>Short Book — Market Value 市值(负债)</t>
        </is>
      </c>
      <c r="B97" s="4" t="n">
        <v>485704.15</v>
      </c>
      <c r="C97" s="4" t="n">
        <v>172854.27</v>
      </c>
      <c r="D97" s="4" t="n">
        <v>341495.9</v>
      </c>
      <c r="E97" s="4" t="n">
        <v>1130440.97</v>
      </c>
    </row>
    <row r="98">
      <c r="A98" s="12" t="inlineStr">
        <is>
          <t>Short Book — Margin Loan 融资(2%)</t>
        </is>
      </c>
      <c r="B98" s="13" t="n">
        <v>9714.08</v>
      </c>
      <c r="C98" s="15" t="n">
        <v>0</v>
      </c>
      <c r="D98" s="13" t="n">
        <v>6829.92</v>
      </c>
      <c r="E98" s="13" t="n">
        <v>22608.82</v>
      </c>
    </row>
    <row r="99">
      <c r="A99" s="16" t="inlineStr">
        <is>
          <t>Short Book — NAV</t>
        </is>
      </c>
      <c r="B99" s="11" t="n">
        <v>0</v>
      </c>
      <c r="C99" s="4" t="n">
        <v>3457.09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3" t="n">
        <v>189316.14</v>
      </c>
      <c r="D100" s="15" t="n">
        <v>0</v>
      </c>
      <c r="E100" s="15" t="n">
        <v>0</v>
      </c>
    </row>
    <row r="101">
      <c r="A101" s="16" t="inlineStr">
        <is>
          <t>Dual-View NAV 双账户法NAV</t>
        </is>
      </c>
      <c r="B101" s="4" t="n">
        <v>562673.77</v>
      </c>
      <c r="C101" s="4" t="n">
        <v>562673.77</v>
      </c>
      <c r="D101" s="4" t="n">
        <v>550172.3199999999</v>
      </c>
      <c r="E101" s="4" t="n">
        <v>422720.45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9" t="n">
        <v>-1439.38</v>
      </c>
      <c r="C5" s="4" t="n">
        <v>20358.01</v>
      </c>
      <c r="D5" s="4" t="n">
        <v>144609.1</v>
      </c>
      <c r="E5" s="4" t="n">
        <v>219901.35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19" t="n">
        <v>-34165.56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9" t="n">
        <v>-1439.38</v>
      </c>
      <c r="C11" s="4" t="n">
        <v>7856.56</v>
      </c>
      <c r="D11" s="4" t="n">
        <v>4655.78</v>
      </c>
      <c r="E11" s="4" t="n">
        <v>69394.42999999999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3945.94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1" t="n">
        <v>0</v>
      </c>
      <c r="C17" s="4" t="n">
        <v>12501.45</v>
      </c>
      <c r="D17" s="4" t="n">
        <v>139953.32</v>
      </c>
      <c r="E17" s="4" t="n">
        <v>150506.92</v>
      </c>
    </row>
    <row r="18">
      <c r="A18" s="12" t="inlineStr">
        <is>
          <t>Interest expense (est)</t>
        </is>
      </c>
      <c r="B18" s="15" t="n">
        <v>21.11</v>
      </c>
      <c r="C18" s="13" t="n">
        <v>105.53</v>
      </c>
      <c r="D18" s="13" t="n">
        <v>443.21</v>
      </c>
      <c r="E18" s="13" t="n">
        <v>3397.91</v>
      </c>
    </row>
    <row r="19">
      <c r="A19" s="10" t="inlineStr">
        <is>
          <t>Current unrealized PnL</t>
        </is>
      </c>
      <c r="B19" s="19" t="n">
        <v>-38111.5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1142839.52</v>
      </c>
      <c r="C5" s="4" t="n">
        <v>1121042.13</v>
      </c>
      <c r="D5" s="4" t="n">
        <v>996791.04</v>
      </c>
      <c r="E5" s="4" t="n">
        <v>921498.79</v>
      </c>
    </row>
    <row r="6">
      <c r="A6" s="12" t="inlineStr">
        <is>
          <t>Net income</t>
        </is>
      </c>
      <c r="B6" s="18" t="n">
        <v>-1439.38</v>
      </c>
      <c r="C6" s="13" t="n">
        <v>20358.01</v>
      </c>
      <c r="D6" s="13" t="n">
        <v>144609.1</v>
      </c>
      <c r="E6" s="13" t="n">
        <v>219901.35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1141400.14</v>
      </c>
      <c r="C9" s="4" t="n">
        <v>1141400.14</v>
      </c>
      <c r="D9" s="4" t="n">
        <v>1141400.14</v>
      </c>
      <c r="E9" s="4" t="n">
        <v>1141400.14</v>
      </c>
    </row>
    <row r="10">
      <c r="A10" s="12" t="inlineStr">
        <is>
          <t>Return (%)</t>
        </is>
      </c>
      <c r="B10" s="20" t="n">
        <v>-0.13</v>
      </c>
      <c r="C10" s="21" t="n">
        <v>1.82</v>
      </c>
      <c r="D10" s="21" t="n">
        <v>14.51</v>
      </c>
      <c r="E10" s="21" t="n">
        <v>23.86</v>
      </c>
    </row>
    <row r="11">
      <c r="A11" s="10" t="inlineStr">
        <is>
          <t>Max drawdown (%)</t>
        </is>
      </c>
      <c r="B11" s="22" t="n">
        <v>-0.13</v>
      </c>
      <c r="C11" s="22" t="n">
        <v>-3.5</v>
      </c>
      <c r="D11" s="22" t="n">
        <v>-9.41</v>
      </c>
      <c r="E11" s="22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580165.75</v>
      </c>
      <c r="C15" s="4" t="n">
        <v>570869.8100000001</v>
      </c>
      <c r="D15" s="4" t="n">
        <v>574070.59</v>
      </c>
      <c r="E15" s="4" t="n">
        <v>509331.94</v>
      </c>
    </row>
    <row r="16">
      <c r="A16" s="12" t="inlineStr">
        <is>
          <t>Net income</t>
        </is>
      </c>
      <c r="B16" s="18" t="n">
        <v>-1439.38</v>
      </c>
      <c r="C16" s="13" t="n">
        <v>7856.56</v>
      </c>
      <c r="D16" s="13" t="n">
        <v>4655.78</v>
      </c>
      <c r="E16" s="13" t="n">
        <v>69394.42999999999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578726.37</v>
      </c>
      <c r="C19" s="4" t="n">
        <v>578726.37</v>
      </c>
      <c r="D19" s="4" t="n">
        <v>578726.37</v>
      </c>
      <c r="E19" s="4" t="n">
        <v>578726.37</v>
      </c>
    </row>
    <row r="20">
      <c r="A20" s="12" t="inlineStr">
        <is>
          <t>Return (%)</t>
        </is>
      </c>
      <c r="B20" s="20" t="n">
        <v>-0.25</v>
      </c>
      <c r="C20" s="21" t="n">
        <v>1.38</v>
      </c>
      <c r="D20" s="21" t="n">
        <v>0.8100000000000001</v>
      </c>
      <c r="E20" s="21" t="n">
        <v>13.62</v>
      </c>
    </row>
    <row r="21">
      <c r="A21" s="10" t="inlineStr">
        <is>
          <t>Max drawdown (%)</t>
        </is>
      </c>
      <c r="B21" s="22" t="n">
        <v>-0.25</v>
      </c>
      <c r="C21" s="22" t="n">
        <v>-1.62</v>
      </c>
      <c r="D21" s="22" t="n">
        <v>-2.01</v>
      </c>
      <c r="E21" s="22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562673.77</v>
      </c>
      <c r="C25" s="4" t="n">
        <v>550172.3199999999</v>
      </c>
      <c r="D25" s="4" t="n">
        <v>422720.45</v>
      </c>
      <c r="E25" s="4" t="n">
        <v>412166.85</v>
      </c>
    </row>
    <row r="26">
      <c r="A26" s="12" t="inlineStr">
        <is>
          <t>Net income</t>
        </is>
      </c>
      <c r="B26" s="15" t="n">
        <v>0</v>
      </c>
      <c r="C26" s="13" t="n">
        <v>12501.45</v>
      </c>
      <c r="D26" s="13" t="n">
        <v>139953.32</v>
      </c>
      <c r="E26" s="13" t="n">
        <v>150506.92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562673.77</v>
      </c>
      <c r="C29" s="4" t="n">
        <v>562673.77</v>
      </c>
      <c r="D29" s="4" t="n">
        <v>562673.77</v>
      </c>
      <c r="E29" s="4" t="n">
        <v>562673.77</v>
      </c>
    </row>
    <row r="30">
      <c r="A30" s="12" t="inlineStr">
        <is>
          <t>Return (%)</t>
        </is>
      </c>
      <c r="B30" s="21" t="n">
        <v>0</v>
      </c>
      <c r="C30" s="21" t="n">
        <v>2.27</v>
      </c>
      <c r="D30" s="21" t="n">
        <v>33.11</v>
      </c>
      <c r="E30" s="21" t="n">
        <v>36.52</v>
      </c>
    </row>
    <row r="31">
      <c r="A31" s="10" t="inlineStr">
        <is>
          <t>Max drawdown (%)</t>
        </is>
      </c>
      <c r="B31" s="23" t="n">
        <v>0</v>
      </c>
      <c r="C31" s="22" t="n">
        <v>-5.45</v>
      </c>
      <c r="D31" s="22" t="n">
        <v>-18.48</v>
      </c>
      <c r="E31" s="22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20358.01</v>
      </c>
    </row>
    <row r="5">
      <c r="A5" s="3" t="inlineStr">
        <is>
          <t>Investing cash flow</t>
        </is>
      </c>
      <c r="B5" s="4" t="n">
        <v>298353.67</v>
      </c>
    </row>
    <row r="6">
      <c r="A6" s="3" t="inlineStr">
        <is>
          <t>Financing cash flow</t>
        </is>
      </c>
      <c r="B6" s="6" t="n">
        <v>0</v>
      </c>
    </row>
    <row r="7">
      <c r="A7" s="3" t="inlineStr">
        <is>
          <t>Net change in cash</t>
        </is>
      </c>
      <c r="B7" s="4" t="n">
        <v>318711.68</v>
      </c>
    </row>
    <row r="8">
      <c r="A8" s="3" t="inlineStr">
        <is>
          <t>Beginning cash</t>
        </is>
      </c>
      <c r="B8" s="4" t="n">
        <v>252416.46</v>
      </c>
    </row>
    <row r="9">
      <c r="A9" s="3" t="inlineStr">
        <is>
          <t>Ending cash</t>
        </is>
      </c>
      <c r="B9" s="4" t="n">
        <v>256586.95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2" t="inlineStr">
        <is>
          <t>2026-03-20</t>
        </is>
      </c>
      <c r="B97" s="13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2" t="inlineStr">
        <is>
          <t>2026-03-24</t>
        </is>
      </c>
      <c r="B99" s="13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2" t="inlineStr">
        <is>
          <t>2026-03-26</t>
        </is>
      </c>
      <c r="B101" s="13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2" t="inlineStr">
        <is>
          <t>2026-03-30</t>
        </is>
      </c>
      <c r="B103" s="13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2" t="inlineStr">
        <is>
          <t>2026-04-01</t>
        </is>
      </c>
      <c r="B105" s="13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2" t="inlineStr">
        <is>
          <t>2026-04-03</t>
        </is>
      </c>
      <c r="B107" s="13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2" t="inlineStr">
        <is>
          <t>2026-04-07</t>
        </is>
      </c>
      <c r="B109" s="13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2" t="inlineStr">
        <is>
          <t>2026-04-09</t>
        </is>
      </c>
      <c r="B111" s="13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2" t="inlineStr">
        <is>
          <t>2026-04-13</t>
        </is>
      </c>
      <c r="B113" s="13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2" t="inlineStr">
        <is>
          <t>2026-04-15</t>
        </is>
      </c>
      <c r="B115" s="13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2" t="inlineStr">
        <is>
          <t>2026-04-17</t>
        </is>
      </c>
      <c r="B117" s="13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2" t="inlineStr">
        <is>
          <t>2026-04-21</t>
        </is>
      </c>
      <c r="B119" s="13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2" t="inlineStr">
        <is>
          <t>2026-04-23</t>
        </is>
      </c>
      <c r="B121" s="13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2" t="inlineStr">
        <is>
          <t>2026-04-27</t>
        </is>
      </c>
      <c r="B123" s="13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2" t="inlineStr">
        <is>
          <t>2026-04-29</t>
        </is>
      </c>
      <c r="B125" s="13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2" t="inlineStr">
        <is>
          <t>2026-05-01</t>
        </is>
      </c>
      <c r="B127" s="13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2" t="inlineStr">
        <is>
          <t>2026-05-05</t>
        </is>
      </c>
      <c r="B129" s="13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2" t="inlineStr">
        <is>
          <t>2026-05-07</t>
        </is>
      </c>
      <c r="B131" s="13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2" t="inlineStr">
        <is>
          <t>2026-05-11</t>
        </is>
      </c>
      <c r="B133" s="13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2" t="inlineStr">
        <is>
          <t>2026-05-13</t>
        </is>
      </c>
      <c r="B135" s="13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2" t="inlineStr">
        <is>
          <t>2026-05-15</t>
        </is>
      </c>
      <c r="B137" s="13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2" t="inlineStr">
        <is>
          <t>2026-05-19</t>
        </is>
      </c>
      <c r="B139" s="13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2" t="inlineStr">
        <is>
          <t>2026-05-21</t>
        </is>
      </c>
      <c r="B141" s="13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2" t="inlineStr">
        <is>
          <t>2026-05-25</t>
        </is>
      </c>
      <c r="B143" s="13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2" t="inlineStr">
        <is>
          <t>2026-05-27</t>
        </is>
      </c>
      <c r="B145" s="13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2" t="inlineStr">
        <is>
          <t>2026-05-29</t>
        </is>
      </c>
      <c r="B147" s="13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2" t="inlineStr">
        <is>
          <t>2026-06-02</t>
        </is>
      </c>
      <c r="B149" s="13" t="n">
        <v>1099781.06</v>
      </c>
    </row>
    <row r="150">
      <c r="A150" s="10" t="inlineStr">
        <is>
          <t>2026-06-03</t>
        </is>
      </c>
      <c r="B150" s="4" t="n">
        <v>1108558.05</v>
      </c>
    </row>
    <row r="151">
      <c r="A151" s="12" t="inlineStr">
        <is>
          <t>2026-06-04</t>
        </is>
      </c>
      <c r="B151" s="13" t="n">
        <v>1111869.67</v>
      </c>
    </row>
    <row r="152">
      <c r="A152" s="10" t="inlineStr">
        <is>
          <t>2026-06-05</t>
        </is>
      </c>
      <c r="B152" s="4" t="n">
        <v>1007201.77</v>
      </c>
    </row>
    <row r="153">
      <c r="A153" s="12" t="inlineStr">
        <is>
          <t>2026-06-08</t>
        </is>
      </c>
      <c r="B153" s="13" t="n">
        <v>1063800.8</v>
      </c>
    </row>
    <row r="154">
      <c r="A154" s="10" t="inlineStr">
        <is>
          <t>2026-06-09</t>
        </is>
      </c>
      <c r="B154" s="4" t="n">
        <v>1055689.39</v>
      </c>
    </row>
    <row r="155">
      <c r="A155" s="12" t="inlineStr">
        <is>
          <t>2026-06-10</t>
        </is>
      </c>
      <c r="B155" s="13" t="n">
        <v>1054547.31</v>
      </c>
    </row>
    <row r="156">
      <c r="A156" s="10" t="inlineStr">
        <is>
          <t>2026-06-11</t>
        </is>
      </c>
      <c r="B156" s="4" t="n">
        <v>1135928.72</v>
      </c>
    </row>
    <row r="157">
      <c r="A157" s="12" t="inlineStr">
        <is>
          <t>2026-06-12</t>
        </is>
      </c>
      <c r="B157" s="13" t="n">
        <v>1149117.29</v>
      </c>
    </row>
    <row r="158">
      <c r="A158" s="10" t="inlineStr">
        <is>
          <t>2026-06-15</t>
        </is>
      </c>
      <c r="B158" s="4" t="n">
        <v>1149704.73</v>
      </c>
    </row>
    <row r="159">
      <c r="A159" s="12" t="inlineStr">
        <is>
          <t>2026-06-16</t>
        </is>
      </c>
      <c r="B159" s="13" t="n">
        <v>1121042.13</v>
      </c>
    </row>
    <row r="160">
      <c r="A160" s="10" t="inlineStr">
        <is>
          <t>2026-06-17</t>
        </is>
      </c>
      <c r="B160" s="4" t="n">
        <v>1126084.14</v>
      </c>
    </row>
    <row r="161">
      <c r="A161" s="12" t="inlineStr">
        <is>
          <t>2026-06-18</t>
        </is>
      </c>
      <c r="B161" s="13" t="n">
        <v>1134403.3</v>
      </c>
    </row>
    <row r="162">
      <c r="A162" s="10" t="inlineStr">
        <is>
          <t>2026-06-19</t>
        </is>
      </c>
      <c r="B162" s="4" t="n">
        <v>1094653.55</v>
      </c>
    </row>
    <row r="163">
      <c r="A163" s="12" t="inlineStr">
        <is>
          <t>2026-06-22</t>
        </is>
      </c>
      <c r="B163" s="13" t="n">
        <v>1142839.52</v>
      </c>
    </row>
    <row r="164">
      <c r="A164" s="10" t="inlineStr">
        <is>
          <t>2026-06-23</t>
        </is>
      </c>
      <c r="B164" s="4" t="n">
        <v>1141400.14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1141400.14</v>
      </c>
      <c r="C4" s="4" t="n">
        <v>871815.8</v>
      </c>
      <c r="D4" s="4" t="n">
        <v>649869.62</v>
      </c>
      <c r="E4" s="4" t="n">
        <v>1521685.42</v>
      </c>
      <c r="F4" s="4" t="n">
        <v>221946.18</v>
      </c>
      <c r="G4" s="5" t="n">
        <v>1.333</v>
      </c>
      <c r="H4" s="5" t="n">
        <v>0.194</v>
      </c>
      <c r="I4" s="5" t="n">
        <v>133.32</v>
      </c>
      <c r="J4" s="5" t="n">
        <v>66.66</v>
      </c>
      <c r="K4" s="24" t="n">
        <v>9</v>
      </c>
    </row>
    <row r="5">
      <c r="A5" s="12" t="inlineStr">
        <is>
          <t>MRPT</t>
        </is>
      </c>
      <c r="B5" s="13" t="n">
        <v>578726.37</v>
      </c>
      <c r="C5" s="13" t="n">
        <v>164789.2</v>
      </c>
      <c r="D5" s="13" t="n">
        <v>164165.47</v>
      </c>
      <c r="E5" s="13" t="n">
        <v>328954.67</v>
      </c>
      <c r="F5" s="13" t="n">
        <v>623.73</v>
      </c>
      <c r="G5" s="25" t="n">
        <v>0.5679999999999999</v>
      </c>
      <c r="H5" s="25" t="n">
        <v>0.001</v>
      </c>
      <c r="I5" s="25" t="n">
        <v>56.84</v>
      </c>
      <c r="J5" s="25" t="n">
        <v>28.42</v>
      </c>
      <c r="K5" s="26" t="n">
        <v>1</v>
      </c>
    </row>
    <row r="6">
      <c r="A6" s="10" t="inlineStr">
        <is>
          <t>MTFS</t>
        </is>
      </c>
      <c r="B6" s="4" t="n">
        <v>562673.77</v>
      </c>
      <c r="C6" s="4" t="n">
        <v>707026.6</v>
      </c>
      <c r="D6" s="4" t="n">
        <v>485704.15</v>
      </c>
      <c r="E6" s="4" t="n">
        <v>1192730.75</v>
      </c>
      <c r="F6" s="4" t="n">
        <v>221322.45</v>
      </c>
      <c r="G6" s="5" t="n">
        <v>2.12</v>
      </c>
      <c r="H6" s="5" t="n">
        <v>0.393</v>
      </c>
      <c r="I6" s="5" t="n">
        <v>211.98</v>
      </c>
      <c r="J6" s="5" t="n">
        <v>105.99</v>
      </c>
      <c r="K6" s="24" t="n">
        <v>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HHI=0.1256  ·  effective N pairs=8.0  ·  max pair=21.62%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IRM</t>
        </is>
      </c>
      <c r="B6" s="4" t="n">
        <v>232588.88</v>
      </c>
      <c r="C6" s="4" t="n">
        <v>232588.88</v>
      </c>
      <c r="D6" s="23" t="n">
        <v>20.38</v>
      </c>
      <c r="E6" s="23" t="n">
        <v>15.28</v>
      </c>
      <c r="F6" s="24" t="n">
        <v>2</v>
      </c>
    </row>
    <row r="7">
      <c r="A7" s="12" t="inlineStr">
        <is>
          <t>AMAT</t>
        </is>
      </c>
      <c r="B7" s="13" t="n">
        <v>207401.52</v>
      </c>
      <c r="C7" s="13" t="n">
        <v>207401.52</v>
      </c>
      <c r="D7" s="21" t="n">
        <v>18.17</v>
      </c>
      <c r="E7" s="21" t="n">
        <v>13.63</v>
      </c>
      <c r="F7" s="26" t="n">
        <v>2</v>
      </c>
    </row>
    <row r="8">
      <c r="A8" s="10" t="inlineStr">
        <is>
          <t>YUM</t>
        </is>
      </c>
      <c r="B8" s="4" t="n">
        <v>164789.2</v>
      </c>
      <c r="C8" s="4" t="n">
        <v>164789.2</v>
      </c>
      <c r="D8" s="23" t="n">
        <v>14.44</v>
      </c>
      <c r="E8" s="23" t="n">
        <v>10.83</v>
      </c>
      <c r="F8" s="24" t="n">
        <v>1</v>
      </c>
    </row>
    <row r="9">
      <c r="A9" s="12" t="inlineStr">
        <is>
          <t>HAS</t>
        </is>
      </c>
      <c r="B9" s="13" t="n">
        <v>164165.47</v>
      </c>
      <c r="C9" s="18" t="n">
        <v>-164165.47</v>
      </c>
      <c r="D9" s="21" t="n">
        <v>14.38</v>
      </c>
      <c r="E9" s="21" t="n">
        <v>10.79</v>
      </c>
      <c r="F9" s="26" t="n">
        <v>1</v>
      </c>
    </row>
    <row r="10">
      <c r="A10" s="10" t="inlineStr">
        <is>
          <t>NKE</t>
        </is>
      </c>
      <c r="B10" s="4" t="n">
        <v>83912.39999999999</v>
      </c>
      <c r="C10" s="19" t="n">
        <v>-83912.39999999999</v>
      </c>
      <c r="D10" s="23" t="n">
        <v>7.35</v>
      </c>
      <c r="E10" s="23" t="n">
        <v>5.51</v>
      </c>
      <c r="F10" s="24" t="n">
        <v>1</v>
      </c>
    </row>
    <row r="11">
      <c r="A11" s="12" t="inlineStr">
        <is>
          <t>PWR</t>
        </is>
      </c>
      <c r="B11" s="13" t="n">
        <v>80763.35000000001</v>
      </c>
      <c r="C11" s="13" t="n">
        <v>80763.35000000001</v>
      </c>
      <c r="D11" s="21" t="n">
        <v>7.08</v>
      </c>
      <c r="E11" s="21" t="n">
        <v>5.31</v>
      </c>
      <c r="F11" s="26" t="n">
        <v>1</v>
      </c>
    </row>
    <row r="12">
      <c r="A12" s="10" t="inlineStr">
        <is>
          <t>TER</t>
        </is>
      </c>
      <c r="B12" s="4" t="n">
        <v>78562.44</v>
      </c>
      <c r="C12" s="4" t="n">
        <v>78562.44</v>
      </c>
      <c r="D12" s="23" t="n">
        <v>6.88</v>
      </c>
      <c r="E12" s="23" t="n">
        <v>5.16</v>
      </c>
      <c r="F12" s="24" t="n">
        <v>1</v>
      </c>
    </row>
    <row r="13">
      <c r="A13" s="12" t="inlineStr">
        <is>
          <t>CSGP</t>
        </is>
      </c>
      <c r="B13" s="13" t="n">
        <v>59037.26</v>
      </c>
      <c r="C13" s="18" t="n">
        <v>-59037.26</v>
      </c>
      <c r="D13" s="21" t="n">
        <v>5.17</v>
      </c>
      <c r="E13" s="21" t="n">
        <v>3.88</v>
      </c>
      <c r="F13" s="26" t="n">
        <v>1</v>
      </c>
    </row>
    <row r="14">
      <c r="A14" s="10" t="inlineStr">
        <is>
          <t>LULU</t>
        </is>
      </c>
      <c r="B14" s="4" t="n">
        <v>58816.8</v>
      </c>
      <c r="C14" s="19" t="n">
        <v>-58816.8</v>
      </c>
      <c r="D14" s="23" t="n">
        <v>5.15</v>
      </c>
      <c r="E14" s="23" t="n">
        <v>3.87</v>
      </c>
      <c r="F14" s="24" t="n">
        <v>1</v>
      </c>
    </row>
    <row r="15">
      <c r="A15" s="12" t="inlineStr">
        <is>
          <t>MSFT</t>
        </is>
      </c>
      <c r="B15" s="13" t="n">
        <v>57960.7</v>
      </c>
      <c r="C15" s="18" t="n">
        <v>-57960.7</v>
      </c>
      <c r="D15" s="21" t="n">
        <v>5.08</v>
      </c>
      <c r="E15" s="21" t="n">
        <v>3.81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338556.93</v>
      </c>
      <c r="C20" s="4" t="n">
        <v>115742.68</v>
      </c>
      <c r="D20" s="4" t="n">
        <v>222814.25</v>
      </c>
      <c r="E20" s="7" t="n">
        <v>14.64</v>
      </c>
    </row>
    <row r="21">
      <c r="A21" s="12" t="inlineStr">
        <is>
          <t>realestate</t>
        </is>
      </c>
      <c r="B21" s="13" t="n">
        <v>232588.88</v>
      </c>
      <c r="C21" s="13" t="n">
        <v>59037.26</v>
      </c>
      <c r="D21" s="13" t="n">
        <v>173551.62</v>
      </c>
      <c r="E21" s="17" t="n">
        <v>11.41</v>
      </c>
    </row>
    <row r="22">
      <c r="A22" s="10" t="inlineStr">
        <is>
          <t>food</t>
        </is>
      </c>
      <c r="B22" s="4" t="n">
        <v>164789.2</v>
      </c>
      <c r="C22" s="4" t="n">
        <v>306894.67</v>
      </c>
      <c r="D22" s="19" t="n">
        <v>-142105.47</v>
      </c>
      <c r="E22" s="7" t="n">
        <v>-9.34</v>
      </c>
    </row>
    <row r="23">
      <c r="A23" s="12" t="inlineStr">
        <is>
          <t>industrial</t>
        </is>
      </c>
      <c r="B23" s="13" t="n">
        <v>135880.79</v>
      </c>
      <c r="C23" s="13" t="n">
        <v>55215.86</v>
      </c>
      <c r="D23" s="13" t="n">
        <v>80664.92999999999</v>
      </c>
      <c r="E23" s="17" t="n">
        <v>5.3</v>
      </c>
    </row>
    <row r="24">
      <c r="A24" s="10" t="inlineStr">
        <is>
          <t>telecom</t>
        </is>
      </c>
      <c r="B24" s="11" t="n">
        <v>0</v>
      </c>
      <c r="C24" s="4" t="n">
        <v>56533.95</v>
      </c>
      <c r="D24" s="19" t="n">
        <v>-56533.95</v>
      </c>
      <c r="E24" s="7" t="n">
        <v>-3.72</v>
      </c>
    </row>
    <row r="25">
      <c r="A25" s="12" t="inlineStr">
        <is>
          <t>health</t>
        </is>
      </c>
      <c r="B25" s="15" t="n">
        <v>0</v>
      </c>
      <c r="C25" s="13" t="n">
        <v>56445.2</v>
      </c>
      <c r="D25" s="18" t="n">
        <v>-56445.2</v>
      </c>
      <c r="E25" s="17" t="n">
        <v>-3.71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1.133</v>
      </c>
    </row>
    <row r="4">
      <c r="A4" s="3" t="inlineStr">
        <is>
          <t>Gross beta</t>
        </is>
      </c>
      <c r="B4" s="5" t="n">
        <v>1.591</v>
      </c>
    </row>
    <row r="5">
      <c r="A5" s="3" t="inlineStr">
        <is>
          <t>Momentum factor net (% NAV)</t>
        </is>
      </c>
      <c r="B5" s="5" t="n">
        <v>19.39</v>
      </c>
    </row>
    <row r="6">
      <c r="A6" s="3" t="inlineStr">
        <is>
          <t>Beta data insufficient</t>
        </is>
      </c>
      <c r="B6" s="7" t="inlineStr">
        <is>
          <t>HAS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3" t="n">
        <v>14.64</v>
      </c>
    </row>
    <row r="11">
      <c r="A11" s="12" t="inlineStr">
        <is>
          <t>realestate</t>
        </is>
      </c>
      <c r="B11" s="21" t="n">
        <v>11.41</v>
      </c>
    </row>
    <row r="12">
      <c r="A12" s="10" t="inlineStr">
        <is>
          <t>food</t>
        </is>
      </c>
      <c r="B12" s="22" t="n">
        <v>-9.34</v>
      </c>
    </row>
    <row r="13">
      <c r="A13" s="12" t="inlineStr">
        <is>
          <t>industrial</t>
        </is>
      </c>
      <c r="B13" s="21" t="n">
        <v>5.3</v>
      </c>
    </row>
    <row r="14">
      <c r="A14" s="10" t="inlineStr">
        <is>
          <t>telecom</t>
        </is>
      </c>
      <c r="B14" s="22" t="n">
        <v>-3.72</v>
      </c>
    </row>
    <row r="15">
      <c r="A15" s="12" t="inlineStr">
        <is>
          <t>health</t>
        </is>
      </c>
      <c r="B15" s="20" t="n">
        <v>-3.71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31954.22</v>
      </c>
    </row>
    <row r="4">
      <c r="A4" s="3" t="inlineStr">
        <is>
          <t>Parametric VaR 99% 1d ($)</t>
        </is>
      </c>
      <c r="B4" s="4" t="n">
        <v>45182.69</v>
      </c>
    </row>
    <row r="5">
      <c r="A5" s="3" t="inlineStr">
        <is>
          <t>Annual vol ($)</t>
        </is>
      </c>
      <c r="B5" s="4" t="n">
        <v>308363.24</v>
      </c>
    </row>
    <row r="6">
      <c r="A6" s="3" t="inlineStr">
        <is>
          <t>Annual vol (% NAV)</t>
        </is>
      </c>
      <c r="B6" s="5" t="n">
        <v>27.02</v>
      </c>
    </row>
    <row r="7">
      <c r="A7" s="3" t="inlineStr">
        <is>
          <t>Historical VaR 95% 1d ($)</t>
        </is>
      </c>
      <c r="B7" s="4" t="n">
        <v>30980.26</v>
      </c>
    </row>
    <row r="8">
      <c r="A8" s="3" t="inlineStr">
        <is>
          <t>Historical CVaR 95% 1d ($)</t>
        </is>
      </c>
      <c r="B8" s="4" t="n">
        <v>36509.64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AMAT/CSGP</t>
        </is>
      </c>
      <c r="B12" s="4" t="n">
        <v>5661.9</v>
      </c>
      <c r="C12" s="7" t="n">
        <v>17.72</v>
      </c>
    </row>
    <row r="13">
      <c r="A13" s="12" t="inlineStr">
        <is>
          <t>AMAT/LULU</t>
        </is>
      </c>
      <c r="B13" s="13" t="n">
        <v>5184.07</v>
      </c>
      <c r="C13" s="17" t="n">
        <v>16.22</v>
      </c>
    </row>
    <row r="14">
      <c r="A14" s="10" t="inlineStr">
        <is>
          <t>TER/ISRG</t>
        </is>
      </c>
      <c r="B14" s="4" t="n">
        <v>4687.86</v>
      </c>
      <c r="C14" s="7" t="n">
        <v>14.67</v>
      </c>
    </row>
    <row r="15">
      <c r="A15" s="12" t="inlineStr">
        <is>
          <t>PWR/NKE</t>
        </is>
      </c>
      <c r="B15" s="13" t="n">
        <v>3887.09</v>
      </c>
      <c r="C15" s="17" t="n">
        <v>12.16</v>
      </c>
    </row>
    <row r="16">
      <c r="A16" s="10" t="inlineStr">
        <is>
          <t>GLW/FOX</t>
        </is>
      </c>
      <c r="B16" s="4" t="n">
        <v>3819.3</v>
      </c>
      <c r="C16" s="7" t="n">
        <v>11.95</v>
      </c>
    </row>
    <row r="17">
      <c r="A17" s="12" t="inlineStr">
        <is>
          <t>CAT/TYL</t>
        </is>
      </c>
      <c r="B17" s="13" t="n">
        <v>3520.35</v>
      </c>
      <c r="C17" s="17" t="n">
        <v>11.02</v>
      </c>
    </row>
    <row r="18">
      <c r="A18" s="10" t="inlineStr">
        <is>
          <t>IRM/MSFT</t>
        </is>
      </c>
      <c r="B18" s="4" t="n">
        <v>2879.42</v>
      </c>
      <c r="C18" s="7" t="n">
        <v>9.01</v>
      </c>
    </row>
    <row r="19">
      <c r="A19" s="12" t="inlineStr">
        <is>
          <t>IRM/EFX</t>
        </is>
      </c>
      <c r="B19" s="13" t="n">
        <v>2634.19</v>
      </c>
      <c r="C19" s="17" t="n">
        <v>8.24</v>
      </c>
    </row>
    <row r="20">
      <c r="A20" s="10" t="inlineStr">
        <is>
          <t>HAS/YUM</t>
        </is>
      </c>
      <c r="B20" s="19" t="n">
        <v>-319.96</v>
      </c>
      <c r="C20" s="7" t="n">
        <v>-1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HAS</t>
        </is>
      </c>
      <c r="B6" s="7" t="inlineStr">
        <is>
          <t>HAS/YUM</t>
        </is>
      </c>
      <c r="C6" s="4" t="n">
        <v>1981</v>
      </c>
      <c r="D6" s="4" t="n">
        <v>2058502</v>
      </c>
      <c r="E6" s="7" t="n">
        <v>0</v>
      </c>
    </row>
    <row r="7">
      <c r="A7" s="12" t="inlineStr">
        <is>
          <t>YUM</t>
        </is>
      </c>
      <c r="B7" s="17" t="inlineStr">
        <is>
          <t>HAS/YUM</t>
        </is>
      </c>
      <c r="C7" s="13" t="n">
        <v>1087</v>
      </c>
      <c r="D7" s="13" t="n">
        <v>2304436</v>
      </c>
      <c r="E7" s="17" t="n">
        <v>0</v>
      </c>
    </row>
    <row r="8">
      <c r="A8" s="10" t="inlineStr">
        <is>
          <t>CAT</t>
        </is>
      </c>
      <c r="B8" s="7" t="inlineStr">
        <is>
          <t>CAT/TYL</t>
        </is>
      </c>
      <c r="C8" s="11" t="n">
        <v>56</v>
      </c>
      <c r="D8" s="4" t="n">
        <v>3205792</v>
      </c>
      <c r="E8" s="7" t="n">
        <v>0</v>
      </c>
    </row>
    <row r="9">
      <c r="A9" s="12" t="inlineStr">
        <is>
          <t>TYL</t>
        </is>
      </c>
      <c r="B9" s="17" t="inlineStr">
        <is>
          <t>CAT/TYL</t>
        </is>
      </c>
      <c r="C9" s="13" t="n">
        <v>207</v>
      </c>
      <c r="D9" s="13" t="n">
        <v>890411</v>
      </c>
      <c r="E9" s="17" t="n">
        <v>0</v>
      </c>
    </row>
    <row r="10">
      <c r="A10" s="10" t="inlineStr">
        <is>
          <t>GLW</t>
        </is>
      </c>
      <c r="B10" s="7" t="inlineStr">
        <is>
          <t>GLW/FOX</t>
        </is>
      </c>
      <c r="C10" s="4" t="n">
        <v>271</v>
      </c>
      <c r="D10" s="4" t="n">
        <v>13340900</v>
      </c>
      <c r="E10" s="7" t="n">
        <v>0</v>
      </c>
    </row>
    <row r="11">
      <c r="A11" s="12" t="inlineStr">
        <is>
          <t>FOX</t>
        </is>
      </c>
      <c r="B11" s="17" t="inlineStr">
        <is>
          <t>GLW/FOX</t>
        </is>
      </c>
      <c r="C11" s="13" t="n">
        <v>1269</v>
      </c>
      <c r="D11" s="13" t="n">
        <v>2375566</v>
      </c>
      <c r="E11" s="17" t="n">
        <v>0</v>
      </c>
    </row>
    <row r="12">
      <c r="A12" s="10" t="inlineStr">
        <is>
          <t>IRM</t>
        </is>
      </c>
      <c r="B12" s="7" t="inlineStr">
        <is>
          <t>IRM/EFX</t>
        </is>
      </c>
      <c r="C12" s="4" t="n">
        <v>874</v>
      </c>
      <c r="D12" s="4" t="n">
        <v>1505640</v>
      </c>
      <c r="E12" s="7" t="n">
        <v>0</v>
      </c>
    </row>
    <row r="13">
      <c r="A13" s="12" t="inlineStr">
        <is>
          <t>EFX</t>
        </is>
      </c>
      <c r="B13" s="17" t="inlineStr">
        <is>
          <t>IRM/EFX</t>
        </is>
      </c>
      <c r="C13" s="13" t="n">
        <v>362</v>
      </c>
      <c r="D13" s="13" t="n">
        <v>1845042</v>
      </c>
      <c r="E13" s="17" t="n">
        <v>0</v>
      </c>
    </row>
    <row r="14">
      <c r="A14" s="10" t="inlineStr">
        <is>
          <t>AMAT</t>
        </is>
      </c>
      <c r="B14" s="7" t="inlineStr">
        <is>
          <t>AMAT/LULU</t>
        </is>
      </c>
      <c r="C14" s="4" t="n">
        <v>177</v>
      </c>
      <c r="D14" s="4" t="n">
        <v>9346875</v>
      </c>
      <c r="E14" s="7" t="n">
        <v>0</v>
      </c>
    </row>
    <row r="15">
      <c r="A15" s="12" t="inlineStr">
        <is>
          <t>LULU</t>
        </is>
      </c>
      <c r="B15" s="17" t="inlineStr">
        <is>
          <t>AMAT/LULU</t>
        </is>
      </c>
      <c r="C15" s="13" t="n">
        <v>540</v>
      </c>
      <c r="D15" s="13" t="n">
        <v>3999229</v>
      </c>
      <c r="E15" s="17" t="n">
        <v>0</v>
      </c>
    </row>
    <row r="16">
      <c r="A16" s="10" t="inlineStr">
        <is>
          <t>TER</t>
        </is>
      </c>
      <c r="B16" s="7" t="inlineStr">
        <is>
          <t>TER/ISRG</t>
        </is>
      </c>
      <c r="C16" s="4" t="n">
        <v>187</v>
      </c>
      <c r="D16" s="4" t="n">
        <v>4719808</v>
      </c>
      <c r="E16" s="7" t="n">
        <v>0</v>
      </c>
    </row>
    <row r="17">
      <c r="A17" s="12" t="inlineStr">
        <is>
          <t>ISRG</t>
        </is>
      </c>
      <c r="B17" s="17" t="inlineStr">
        <is>
          <t>TER/ISRG</t>
        </is>
      </c>
      <c r="C17" s="13" t="n">
        <v>140</v>
      </c>
      <c r="D17" s="13" t="n">
        <v>2597801</v>
      </c>
      <c r="E17" s="17" t="n">
        <v>0</v>
      </c>
    </row>
    <row r="18">
      <c r="A18" s="10" t="inlineStr">
        <is>
          <t>AMAT</t>
        </is>
      </c>
      <c r="B18" s="7" t="inlineStr">
        <is>
          <t>AMAT/CSGP</t>
        </is>
      </c>
      <c r="C18" s="4" t="n">
        <v>177</v>
      </c>
      <c r="D18" s="4" t="n">
        <v>9346875</v>
      </c>
      <c r="E18" s="7" t="n">
        <v>0</v>
      </c>
    </row>
    <row r="19">
      <c r="A19" s="12" t="inlineStr">
        <is>
          <t>CSGP</t>
        </is>
      </c>
      <c r="B19" s="17" t="inlineStr">
        <is>
          <t>AMAT/CSGP</t>
        </is>
      </c>
      <c r="C19" s="13" t="n">
        <v>1951</v>
      </c>
      <c r="D19" s="13" t="n">
        <v>7641413</v>
      </c>
      <c r="E19" s="17" t="n">
        <v>0</v>
      </c>
    </row>
    <row r="20">
      <c r="A20" s="10" t="inlineStr">
        <is>
          <t>PWR</t>
        </is>
      </c>
      <c r="B20" s="7" t="inlineStr">
        <is>
          <t>PWR/NKE</t>
        </is>
      </c>
      <c r="C20" s="4" t="n">
        <v>115</v>
      </c>
      <c r="D20" s="4" t="n">
        <v>1197258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-64660.32</v>
      </c>
      <c r="C4" s="22" t="n">
        <v>-5.67</v>
      </c>
    </row>
    <row r="5">
      <c r="A5" s="12" t="inlineStr">
        <is>
          <t>SPY -10%</t>
        </is>
      </c>
      <c r="B5" s="18" t="n">
        <v>-129320.64</v>
      </c>
      <c r="C5" s="20" t="n">
        <v>-11.33</v>
      </c>
    </row>
    <row r="6">
      <c r="A6" s="10" t="inlineStr">
        <is>
          <t>VIX +10pt</t>
        </is>
      </c>
      <c r="B6" s="19" t="n">
        <v>-64660.32</v>
      </c>
      <c r="C6" s="22" t="n">
        <v>-5.67</v>
      </c>
    </row>
    <row r="7">
      <c r="A7" s="12" t="inlineStr">
        <is>
          <t>Top sector -10%</t>
        </is>
      </c>
      <c r="B7" s="18" t="n">
        <v>-22281.43</v>
      </c>
      <c r="C7" s="20" t="n">
        <v>-1.95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0.57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2.12</v>
      </c>
      <c r="D6" s="30" t="n">
        <v>3</v>
      </c>
      <c r="E6" s="30" t="n">
        <v>4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0.39</v>
      </c>
      <c r="D7" s="30" t="n">
        <v>0.5</v>
      </c>
      <c r="E7" s="30" t="n">
        <v>1</v>
      </c>
      <c r="F7" s="30" t="inlineStr">
        <is>
          <t>green</t>
        </is>
      </c>
    </row>
    <row r="8">
      <c r="A8" s="31" t="inlineStr">
        <is>
          <t>single_name_gross</t>
        </is>
      </c>
      <c r="B8" s="32" t="inlineStr">
        <is>
          <t>IRM</t>
        </is>
      </c>
      <c r="C8" s="32" t="n">
        <v>20.38</v>
      </c>
      <c r="D8" s="32" t="n">
        <v>15</v>
      </c>
      <c r="E8" s="32" t="n">
        <v>25</v>
      </c>
      <c r="F8" s="32" t="inlineStr">
        <is>
          <t>amber</t>
        </is>
      </c>
    </row>
    <row r="9">
      <c r="A9" s="31" t="inlineStr">
        <is>
          <t>single_name_gross</t>
        </is>
      </c>
      <c r="B9" s="32" t="inlineStr">
        <is>
          <t>AMAT</t>
        </is>
      </c>
      <c r="C9" s="32" t="n">
        <v>18.17</v>
      </c>
      <c r="D9" s="32" t="n">
        <v>15</v>
      </c>
      <c r="E9" s="32" t="n">
        <v>25</v>
      </c>
      <c r="F9" s="32" t="inlineStr">
        <is>
          <t>amber</t>
        </is>
      </c>
    </row>
    <row r="10">
      <c r="A10" s="29" t="inlineStr">
        <is>
          <t>single_name_gross</t>
        </is>
      </c>
      <c r="B10" s="30" t="inlineStr">
        <is>
          <t>YUM</t>
        </is>
      </c>
      <c r="C10" s="30" t="n">
        <v>14.44</v>
      </c>
      <c r="D10" s="30" t="n">
        <v>15</v>
      </c>
      <c r="E10" s="30" t="n">
        <v>25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tech</t>
        </is>
      </c>
      <c r="C11" s="30" t="n">
        <v>14.64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31" t="inlineStr">
        <is>
          <t>max_pair</t>
        </is>
      </c>
      <c r="B12" s="32" t="inlineStr">
        <is>
          <t>combined</t>
        </is>
      </c>
      <c r="C12" s="32" t="n">
        <v>21.62</v>
      </c>
      <c r="D12" s="32" t="n">
        <v>20</v>
      </c>
      <c r="E12" s="32" t="n">
        <v>35</v>
      </c>
      <c r="F12" s="32" t="inlineStr">
        <is>
          <t>amber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1.13</v>
      </c>
      <c r="D13" s="34" t="n">
        <v>0.3</v>
      </c>
      <c r="E13" s="34" t="n">
        <v>0.5</v>
      </c>
      <c r="F13" s="34" t="inlineStr">
        <is>
          <t>red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2.8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31" t="inlineStr">
        <is>
          <t>open_pairs</t>
        </is>
      </c>
      <c r="B16" s="32" t="inlineStr">
        <is>
          <t>mtfs</t>
        </is>
      </c>
      <c r="C16" s="32" t="n">
        <v>8</v>
      </c>
      <c r="D16" s="32" t="n">
        <v>8</v>
      </c>
      <c r="E16" s="32" t="n"/>
      <c r="F16" s="32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HAS/YUM</t>
        </is>
      </c>
      <c r="C4" s="17" t="inlineStr">
        <is>
          <t>HAS</t>
        </is>
      </c>
      <c r="D4" s="17" t="inlineStr">
        <is>
          <t>short</t>
        </is>
      </c>
      <c r="E4" s="26" t="n">
        <v>-1981</v>
      </c>
      <c r="F4" s="15" t="n">
        <v>82.87</v>
      </c>
      <c r="G4" s="18" t="n">
        <v>-164165.47</v>
      </c>
      <c r="H4" s="17" t="inlineStr">
        <is>
          <t>food</t>
        </is>
      </c>
      <c r="I4" s="17" t="n">
        <v>0</v>
      </c>
      <c r="J4" s="17" t="inlineStr">
        <is>
          <t>aggressive</t>
        </is>
      </c>
    </row>
    <row r="5">
      <c r="A5" s="10" t="inlineStr">
        <is>
          <t>MRPT</t>
        </is>
      </c>
      <c r="B5" s="7" t="inlineStr">
        <is>
          <t>HAS/YUM</t>
        </is>
      </c>
      <c r="C5" s="7" t="inlineStr">
        <is>
          <t>YUM</t>
        </is>
      </c>
      <c r="D5" s="7" t="inlineStr">
        <is>
          <t>long</t>
        </is>
      </c>
      <c r="E5" s="24" t="n">
        <v>1087</v>
      </c>
      <c r="F5" s="4" t="n">
        <v>151.6</v>
      </c>
      <c r="G5" s="4" t="n">
        <v>164789.2</v>
      </c>
      <c r="H5" s="7" t="inlineStr">
        <is>
          <t>food</t>
        </is>
      </c>
      <c r="I5" s="7" t="n">
        <v>0</v>
      </c>
      <c r="J5" s="7" t="inlineStr">
        <is>
          <t>aggressive</t>
        </is>
      </c>
    </row>
    <row r="6">
      <c r="A6" s="12" t="inlineStr">
        <is>
          <t>MTFS</t>
        </is>
      </c>
      <c r="B6" s="17" t="inlineStr">
        <is>
          <t>CAT/TYL</t>
        </is>
      </c>
      <c r="C6" s="17" t="inlineStr">
        <is>
          <t>CAT</t>
        </is>
      </c>
      <c r="D6" s="17" t="inlineStr">
        <is>
          <t>long</t>
        </is>
      </c>
      <c r="E6" s="26" t="n">
        <v>56</v>
      </c>
      <c r="F6" s="13" t="n">
        <v>984.24</v>
      </c>
      <c r="G6" s="13" t="n">
        <v>55117.44</v>
      </c>
      <c r="H6" s="17" t="inlineStr">
        <is>
          <t>industrial</t>
        </is>
      </c>
      <c r="I6" s="17" t="n">
        <v>0</v>
      </c>
      <c r="J6" s="17" t="inlineStr">
        <is>
          <t>raw_momentum</t>
        </is>
      </c>
    </row>
    <row r="7">
      <c r="A7" s="10" t="inlineStr">
        <is>
          <t>MTFS</t>
        </is>
      </c>
      <c r="B7" s="7" t="inlineStr">
        <is>
          <t>CAT/TYL</t>
        </is>
      </c>
      <c r="C7" s="7" t="inlineStr">
        <is>
          <t>TYL</t>
        </is>
      </c>
      <c r="D7" s="7" t="inlineStr">
        <is>
          <t>short</t>
        </is>
      </c>
      <c r="E7" s="24" t="n">
        <v>-207</v>
      </c>
      <c r="F7" s="4" t="n">
        <v>279.14</v>
      </c>
      <c r="G7" s="19" t="n">
        <v>-57781.98</v>
      </c>
      <c r="H7" s="7" t="inlineStr">
        <is>
          <t>tech</t>
        </is>
      </c>
      <c r="I7" s="7" t="n">
        <v>0</v>
      </c>
      <c r="J7" s="7" t="inlineStr">
        <is>
          <t>raw_momentum</t>
        </is>
      </c>
    </row>
    <row r="8">
      <c r="A8" s="12" t="inlineStr">
        <is>
          <t>MTFS</t>
        </is>
      </c>
      <c r="B8" s="17" t="inlineStr">
        <is>
          <t>GLW/FOX</t>
        </is>
      </c>
      <c r="C8" s="17" t="inlineStr">
        <is>
          <t>GLW</t>
        </is>
      </c>
      <c r="D8" s="17" t="inlineStr">
        <is>
          <t>long</t>
        </is>
      </c>
      <c r="E8" s="26" t="n">
        <v>271</v>
      </c>
      <c r="F8" s="13" t="n">
        <v>194.07</v>
      </c>
      <c r="G8" s="13" t="n">
        <v>52592.97</v>
      </c>
      <c r="H8" s="17" t="inlineStr">
        <is>
          <t>tech</t>
        </is>
      </c>
      <c r="I8" s="17" t="n">
        <v>0</v>
      </c>
      <c r="J8" s="17" t="inlineStr">
        <is>
          <t>monthly_aligned_windows</t>
        </is>
      </c>
    </row>
    <row r="9">
      <c r="A9" s="10" t="inlineStr">
        <is>
          <t>MTFS</t>
        </is>
      </c>
      <c r="B9" s="7" t="inlineStr">
        <is>
          <t>GLW/FOX</t>
        </is>
      </c>
      <c r="C9" s="7" t="inlineStr">
        <is>
          <t>FOX</t>
        </is>
      </c>
      <c r="D9" s="7" t="inlineStr">
        <is>
          <t>short</t>
        </is>
      </c>
      <c r="E9" s="24" t="n">
        <v>-1269</v>
      </c>
      <c r="F9" s="11" t="n">
        <v>44.55</v>
      </c>
      <c r="G9" s="19" t="n">
        <v>-56533.95</v>
      </c>
      <c r="H9" s="7" t="inlineStr">
        <is>
          <t>telecom</t>
        </is>
      </c>
      <c r="I9" s="7" t="n">
        <v>0</v>
      </c>
      <c r="J9" s="7" t="inlineStr">
        <is>
          <t>monthly_aligned_windows</t>
        </is>
      </c>
    </row>
    <row r="10">
      <c r="A10" s="12" t="inlineStr">
        <is>
          <t>MTFS</t>
        </is>
      </c>
      <c r="B10" s="17" t="inlineStr">
        <is>
          <t>IRM/EFX</t>
        </is>
      </c>
      <c r="C10" s="17" t="inlineStr">
        <is>
          <t>IRM</t>
        </is>
      </c>
      <c r="D10" s="17" t="inlineStr">
        <is>
          <t>long</t>
        </is>
      </c>
      <c r="E10" s="26" t="n">
        <v>874</v>
      </c>
      <c r="F10" s="13" t="n">
        <v>133.06</v>
      </c>
      <c r="G10" s="13" t="n">
        <v>116294.44</v>
      </c>
      <c r="H10" s="17" t="inlineStr">
        <is>
          <t>realestate</t>
        </is>
      </c>
      <c r="I10" s="17" t="n">
        <v>0</v>
      </c>
      <c r="J10" s="17" t="inlineStr">
        <is>
          <t>raw_momentum_kalman</t>
        </is>
      </c>
    </row>
    <row r="11">
      <c r="A11" s="10" t="inlineStr">
        <is>
          <t>MTFS</t>
        </is>
      </c>
      <c r="B11" s="7" t="inlineStr">
        <is>
          <t>IRM/EFX</t>
        </is>
      </c>
      <c r="C11" s="7" t="inlineStr">
        <is>
          <t>EFX</t>
        </is>
      </c>
      <c r="D11" s="7" t="inlineStr">
        <is>
          <t>short</t>
        </is>
      </c>
      <c r="E11" s="24" t="n">
        <v>-362</v>
      </c>
      <c r="F11" s="4" t="n">
        <v>152.53</v>
      </c>
      <c r="G11" s="19" t="n">
        <v>-55215.86</v>
      </c>
      <c r="H11" s="7" t="inlineStr">
        <is>
          <t>industrial</t>
        </is>
      </c>
      <c r="I11" s="7" t="n">
        <v>0</v>
      </c>
      <c r="J11" s="7" t="inlineStr">
        <is>
          <t>raw_momentum_kalman</t>
        </is>
      </c>
    </row>
    <row r="12">
      <c r="A12" s="12" t="inlineStr">
        <is>
          <t>MTFS</t>
        </is>
      </c>
      <c r="B12" s="17" t="inlineStr">
        <is>
          <t>AMAT/LULU</t>
        </is>
      </c>
      <c r="C12" s="17" t="inlineStr">
        <is>
          <t>AMAT</t>
        </is>
      </c>
      <c r="D12" s="17" t="inlineStr">
        <is>
          <t>long</t>
        </is>
      </c>
      <c r="E12" s="26" t="n">
        <v>177</v>
      </c>
      <c r="F12" s="13" t="n">
        <v>585.88</v>
      </c>
      <c r="G12" s="13" t="n">
        <v>103700.76</v>
      </c>
      <c r="H12" s="17" t="inlineStr">
        <is>
          <t>tech</t>
        </is>
      </c>
      <c r="I12" s="17" t="n">
        <v>0</v>
      </c>
      <c r="J12" s="17" t="inlineStr">
        <is>
          <t>slow_rebalance</t>
        </is>
      </c>
    </row>
    <row r="13">
      <c r="A13" s="10" t="inlineStr">
        <is>
          <t>MTFS</t>
        </is>
      </c>
      <c r="B13" s="7" t="inlineStr">
        <is>
          <t>AMAT/LULU</t>
        </is>
      </c>
      <c r="C13" s="7" t="inlineStr">
        <is>
          <t>LULU</t>
        </is>
      </c>
      <c r="D13" s="7" t="inlineStr">
        <is>
          <t>short</t>
        </is>
      </c>
      <c r="E13" s="24" t="n">
        <v>-540</v>
      </c>
      <c r="F13" s="4" t="n">
        <v>108.92</v>
      </c>
      <c r="G13" s="19" t="n">
        <v>-58816.8</v>
      </c>
      <c r="H13" s="7" t="inlineStr">
        <is>
          <t>food</t>
        </is>
      </c>
      <c r="I13" s="7" t="n">
        <v>0</v>
      </c>
      <c r="J13" s="7" t="inlineStr">
        <is>
          <t>slow_rebalance</t>
        </is>
      </c>
    </row>
    <row r="14">
      <c r="A14" s="12" t="inlineStr">
        <is>
          <t>MTFS</t>
        </is>
      </c>
      <c r="B14" s="17" t="inlineStr">
        <is>
          <t>TER/ISRG</t>
        </is>
      </c>
      <c r="C14" s="17" t="inlineStr">
        <is>
          <t>TER</t>
        </is>
      </c>
      <c r="D14" s="17" t="inlineStr">
        <is>
          <t>long</t>
        </is>
      </c>
      <c r="E14" s="26" t="n">
        <v>187</v>
      </c>
      <c r="F14" s="13" t="n">
        <v>420.12</v>
      </c>
      <c r="G14" s="13" t="n">
        <v>78562.44</v>
      </c>
      <c r="H14" s="17" t="inlineStr">
        <is>
          <t>tech</t>
        </is>
      </c>
      <c r="I14" s="17" t="n">
        <v>0</v>
      </c>
      <c r="J14" s="17" t="inlineStr">
        <is>
          <t>long_term_kalman</t>
        </is>
      </c>
    </row>
    <row r="15">
      <c r="A15" s="10" t="inlineStr">
        <is>
          <t>MTFS</t>
        </is>
      </c>
      <c r="B15" s="7" t="inlineStr">
        <is>
          <t>TER/ISRG</t>
        </is>
      </c>
      <c r="C15" s="7" t="inlineStr">
        <is>
          <t>ISRG</t>
        </is>
      </c>
      <c r="D15" s="7" t="inlineStr">
        <is>
          <t>short</t>
        </is>
      </c>
      <c r="E15" s="24" t="n">
        <v>-140</v>
      </c>
      <c r="F15" s="4" t="n">
        <v>403.18</v>
      </c>
      <c r="G15" s="19" t="n">
        <v>-56445.2</v>
      </c>
      <c r="H15" s="7" t="inlineStr">
        <is>
          <t>health</t>
        </is>
      </c>
      <c r="I15" s="7" t="n">
        <v>0</v>
      </c>
      <c r="J15" s="7" t="inlineStr">
        <is>
          <t>long_term_kalman</t>
        </is>
      </c>
    </row>
    <row r="16">
      <c r="A16" s="12" t="inlineStr">
        <is>
          <t>MTFS</t>
        </is>
      </c>
      <c r="B16" s="17" t="inlineStr">
        <is>
          <t>AMAT/CSGP</t>
        </is>
      </c>
      <c r="C16" s="17" t="inlineStr">
        <is>
          <t>AMAT</t>
        </is>
      </c>
      <c r="D16" s="17" t="inlineStr">
        <is>
          <t>long</t>
        </is>
      </c>
      <c r="E16" s="26" t="n">
        <v>177</v>
      </c>
      <c r="F16" s="13" t="n">
        <v>585.88</v>
      </c>
      <c r="G16" s="13" t="n">
        <v>103700.76</v>
      </c>
      <c r="H16" s="17" t="inlineStr">
        <is>
          <t>tech</t>
        </is>
      </c>
      <c r="I16" s="17" t="n">
        <v>0</v>
      </c>
      <c r="J16" s="17" t="inlineStr">
        <is>
          <t>fast_rebalance</t>
        </is>
      </c>
    </row>
    <row r="17">
      <c r="A17" s="10" t="inlineStr">
        <is>
          <t>MTFS</t>
        </is>
      </c>
      <c r="B17" s="7" t="inlineStr">
        <is>
          <t>AMAT/CSGP</t>
        </is>
      </c>
      <c r="C17" s="7" t="inlineStr">
        <is>
          <t>CSGP</t>
        </is>
      </c>
      <c r="D17" s="7" t="inlineStr">
        <is>
          <t>short</t>
        </is>
      </c>
      <c r="E17" s="24" t="n">
        <v>-1951</v>
      </c>
      <c r="F17" s="11" t="n">
        <v>30.26</v>
      </c>
      <c r="G17" s="19" t="n">
        <v>-59037.26</v>
      </c>
      <c r="H17" s="7" t="inlineStr">
        <is>
          <t>realestate</t>
        </is>
      </c>
      <c r="I17" s="7" t="n">
        <v>0</v>
      </c>
      <c r="J17" s="7" t="inlineStr">
        <is>
          <t>fast_rebalance</t>
        </is>
      </c>
    </row>
    <row r="18">
      <c r="A18" s="12" t="inlineStr">
        <is>
          <t>MTFS</t>
        </is>
      </c>
      <c r="B18" s="17" t="inlineStr">
        <is>
          <t>PWR/NKE</t>
        </is>
      </c>
      <c r="C18" s="17" t="inlineStr">
        <is>
          <t>PWR</t>
        </is>
      </c>
      <c r="D18" s="17" t="inlineStr">
        <is>
          <t>long</t>
        </is>
      </c>
      <c r="E18" s="26" t="n">
        <v>115</v>
      </c>
      <c r="F18" s="13" t="n">
        <v>702.29</v>
      </c>
      <c r="G18" s="13" t="n">
        <v>80763.35000000001</v>
      </c>
      <c r="H18" s="17" t="inlineStr">
        <is>
          <t>industrial</t>
        </is>
      </c>
      <c r="I18" s="17" t="n">
        <v>0</v>
      </c>
      <c r="J18" s="17" t="inlineStr">
        <is>
          <t>aggressive</t>
        </is>
      </c>
    </row>
    <row r="19">
      <c r="A19" s="10" t="inlineStr">
        <is>
          <t>MTFS</t>
        </is>
      </c>
      <c r="B19" s="7" t="inlineStr">
        <is>
          <t>PWR/NKE</t>
        </is>
      </c>
      <c r="C19" s="7" t="inlineStr">
        <is>
          <t>NKE</t>
        </is>
      </c>
      <c r="D19" s="7" t="inlineStr">
        <is>
          <t>short</t>
        </is>
      </c>
      <c r="E19" s="24" t="n">
        <v>-1980</v>
      </c>
      <c r="F19" s="11" t="n">
        <v>42.38</v>
      </c>
      <c r="G19" s="19" t="n">
        <v>-83912.39999999999</v>
      </c>
      <c r="H19" s="7" t="inlineStr">
        <is>
          <t>food</t>
        </is>
      </c>
      <c r="I19" s="7" t="n">
        <v>0</v>
      </c>
      <c r="J19" s="7" t="inlineStr">
        <is>
          <t>aggressive</t>
        </is>
      </c>
    </row>
    <row r="20">
      <c r="A20" s="12" t="inlineStr">
        <is>
          <t>MTFS</t>
        </is>
      </c>
      <c r="B20" s="17" t="inlineStr">
        <is>
          <t>IRM/MSFT</t>
        </is>
      </c>
      <c r="C20" s="17" t="inlineStr">
        <is>
          <t>IRM</t>
        </is>
      </c>
      <c r="D20" s="17" t="inlineStr">
        <is>
          <t>long</t>
        </is>
      </c>
      <c r="E20" s="26" t="n">
        <v>874</v>
      </c>
      <c r="F20" s="13" t="n">
        <v>133.06</v>
      </c>
      <c r="G20" s="13" t="n">
        <v>116294.44</v>
      </c>
      <c r="H20" s="17" t="inlineStr">
        <is>
          <t>realestate</t>
        </is>
      </c>
      <c r="I20" s="17" t="n">
        <v>0</v>
      </c>
      <c r="J20" s="17" t="inlineStr">
        <is>
          <t>fast_rebalance</t>
        </is>
      </c>
    </row>
    <row r="21">
      <c r="A21" s="10" t="inlineStr">
        <is>
          <t>MTFS</t>
        </is>
      </c>
      <c r="B21" s="7" t="inlineStr">
        <is>
          <t>IRM/MSFT</t>
        </is>
      </c>
      <c r="C21" s="7" t="inlineStr">
        <is>
          <t>MSFT</t>
        </is>
      </c>
      <c r="D21" s="7" t="inlineStr">
        <is>
          <t>short</t>
        </is>
      </c>
      <c r="E21" s="24" t="n">
        <v>-155</v>
      </c>
      <c r="F21" s="4" t="n">
        <v>373.94</v>
      </c>
      <c r="G21" s="19" t="n">
        <v>-57960.7</v>
      </c>
      <c r="H21" s="7" t="inlineStr">
        <is>
          <t>tech</t>
        </is>
      </c>
      <c r="I21" s="7" t="n">
        <v>0</v>
      </c>
      <c r="J21" s="7" t="inlineStr">
        <is>
          <t>fast_rebalance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HAS/YUM</t>
        </is>
      </c>
      <c r="C4" s="13" t="n">
        <v>3945.94</v>
      </c>
      <c r="D4" s="13" t="n">
        <v>328954.67</v>
      </c>
      <c r="E4" s="17" t="n">
        <v>0</v>
      </c>
      <c r="F4" s="17" t="inlineStr">
        <is>
          <t>aggressive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CAT/TYL</t>
        </is>
      </c>
      <c r="C5" s="19" t="n">
        <v>-2931.33</v>
      </c>
      <c r="D5" s="4" t="n">
        <v>112899.42</v>
      </c>
      <c r="E5" s="7" t="n">
        <v>0</v>
      </c>
      <c r="F5" s="7" t="inlineStr">
        <is>
          <t>raw_momentum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GLW/FOX</t>
        </is>
      </c>
      <c r="C6" s="18" t="n">
        <v>-3788.74</v>
      </c>
      <c r="D6" s="13" t="n">
        <v>109126.92</v>
      </c>
      <c r="E6" s="17" t="n">
        <v>0</v>
      </c>
      <c r="F6" s="17" t="inlineStr">
        <is>
          <t>monthly_aligned_windows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IRM/EFX</t>
        </is>
      </c>
      <c r="C7" s="4" t="n">
        <v>1396.32</v>
      </c>
      <c r="D7" s="4" t="n">
        <v>171510.3</v>
      </c>
      <c r="E7" s="7" t="n">
        <v>0</v>
      </c>
      <c r="F7" s="7" t="inlineStr">
        <is>
          <t>raw_momentum_kalman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AMAT/LULU</t>
        </is>
      </c>
      <c r="C8" s="18" t="n">
        <v>-11495.7</v>
      </c>
      <c r="D8" s="13" t="n">
        <v>162517.56</v>
      </c>
      <c r="E8" s="17" t="n">
        <v>0</v>
      </c>
      <c r="F8" s="17" t="inlineStr">
        <is>
          <t>slow_rebalance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TER/ISRG</t>
        </is>
      </c>
      <c r="C9" s="19" t="n">
        <v>-6928.76</v>
      </c>
      <c r="D9" s="4" t="n">
        <v>135007.64</v>
      </c>
      <c r="E9" s="7" t="n">
        <v>0</v>
      </c>
      <c r="F9" s="7" t="inlineStr">
        <is>
          <t>long_term_kalman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AMAT/CSGP</t>
        </is>
      </c>
      <c r="C10" s="18" t="n">
        <v>-11640.14</v>
      </c>
      <c r="D10" s="13" t="n">
        <v>162738.02</v>
      </c>
      <c r="E10" s="17" t="n">
        <v>0</v>
      </c>
      <c r="F10" s="17" t="inlineStr">
        <is>
          <t>fast_rebalance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PWR/NKE</t>
        </is>
      </c>
      <c r="C11" s="19" t="n">
        <v>-2748.95</v>
      </c>
      <c r="D11" s="4" t="n">
        <v>164675.75</v>
      </c>
      <c r="E11" s="7" t="n">
        <v>0</v>
      </c>
      <c r="F11" s="7" t="inlineStr">
        <is>
          <t>aggressive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IRM/MSFT</t>
        </is>
      </c>
      <c r="C12" s="15" t="n">
        <v>25.8</v>
      </c>
      <c r="D12" s="13" t="n">
        <v>174255.14</v>
      </c>
      <c r="E12" s="17" t="n">
        <v>0</v>
      </c>
      <c r="F12" s="17" t="inlineStr">
        <is>
          <t>fast_rebalance</t>
        </is>
      </c>
      <c r="G12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2026-06-23</t>
        </is>
      </c>
      <c r="C4" s="7" t="inlineStr">
        <is>
          <t>2026-06-23</t>
        </is>
      </c>
    </row>
    <row r="5">
      <c r="A5" s="12" t="inlineStr">
        <is>
          <t>T_1D</t>
        </is>
      </c>
      <c r="B5" s="17" t="inlineStr">
        <is>
          <t>2026-06-22</t>
        </is>
      </c>
      <c r="C5" s="17" t="inlineStr">
        <is>
          <t>2026-06-22</t>
        </is>
      </c>
    </row>
    <row r="6">
      <c r="A6" s="10" t="inlineStr">
        <is>
          <t>T_1W</t>
        </is>
      </c>
      <c r="B6" s="7" t="inlineStr">
        <is>
          <t>2026-06-16</t>
        </is>
      </c>
      <c r="C6" s="7" t="inlineStr">
        <is>
          <t>2026-06-16</t>
        </is>
      </c>
    </row>
    <row r="7">
      <c r="A7" s="12" t="inlineStr">
        <is>
          <t>T_1M</t>
        </is>
      </c>
      <c r="B7" s="17" t="inlineStr">
        <is>
          <t>2026-05-22</t>
        </is>
      </c>
      <c r="C7" s="17" t="inlineStr">
        <is>
          <t>2026-05-22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14.5</v>
      </c>
      <c r="C6" s="7" t="n">
        <v>0.99</v>
      </c>
      <c r="D6" s="7" t="n">
        <v>25</v>
      </c>
      <c r="E6" s="22" t="n">
        <v>-13.51</v>
      </c>
    </row>
    <row r="7">
      <c r="A7" s="12" t="inlineStr">
        <is>
          <t>MTFS</t>
        </is>
      </c>
      <c r="B7" s="17" t="n">
        <v>14.1</v>
      </c>
      <c r="C7" s="17" t="n">
        <v>25.88</v>
      </c>
      <c r="D7" s="17" t="n">
        <v>25</v>
      </c>
      <c r="E7" s="21" t="n">
        <v>11.78</v>
      </c>
    </row>
    <row r="8">
      <c r="A8" s="10" t="inlineStr">
        <is>
          <t>SSRS</t>
        </is>
      </c>
      <c r="B8" s="7" t="n">
        <v>24.04</v>
      </c>
      <c r="C8" s="7" t="n">
        <v>3.23</v>
      </c>
      <c r="D8" s="7" t="n">
        <v>25</v>
      </c>
      <c r="E8" s="22" t="n">
        <v>-20.81</v>
      </c>
    </row>
    <row r="9">
      <c r="A9" s="12" t="inlineStr">
        <is>
          <t>AISS</t>
        </is>
      </c>
      <c r="B9" s="17" t="n">
        <v>47.37</v>
      </c>
      <c r="C9" s="17" t="n">
        <v>69.91</v>
      </c>
      <c r="D9" s="17" t="n">
        <v>25</v>
      </c>
      <c r="E9" s="21" t="n">
        <v>22.54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AMAT/CSGP</t>
        </is>
      </c>
      <c r="B13" s="7" t="n">
        <v>17.72</v>
      </c>
    </row>
    <row r="14">
      <c r="A14" s="12" t="inlineStr">
        <is>
          <t>AMAT/LULU</t>
        </is>
      </c>
      <c r="B14" s="17" t="n">
        <v>16.22</v>
      </c>
    </row>
    <row r="15">
      <c r="A15" s="10" t="inlineStr">
        <is>
          <t>TER/ISRG</t>
        </is>
      </c>
      <c r="B15" s="7" t="n">
        <v>14.67</v>
      </c>
    </row>
    <row r="16">
      <c r="A16" s="12" t="inlineStr">
        <is>
          <t>PWR/NKE</t>
        </is>
      </c>
      <c r="B16" s="17" t="n">
        <v>12.16</v>
      </c>
    </row>
    <row r="17">
      <c r="A17" s="10" t="inlineStr">
        <is>
          <t>GLW/FOX</t>
        </is>
      </c>
      <c r="B17" s="7" t="n">
        <v>11.95</v>
      </c>
    </row>
    <row r="18">
      <c r="A18" s="12" t="inlineStr">
        <is>
          <t>CAT/TYL</t>
        </is>
      </c>
      <c r="B18" s="17" t="n">
        <v>11.02</v>
      </c>
    </row>
    <row r="19">
      <c r="A19" s="10" t="inlineStr">
        <is>
          <t>IRM/MSFT</t>
        </is>
      </c>
      <c r="B19" s="7" t="n">
        <v>9.01</v>
      </c>
    </row>
    <row r="20">
      <c r="A20" s="12" t="inlineStr">
        <is>
          <t>IRM/EFX</t>
        </is>
      </c>
      <c r="B20" s="17" t="n">
        <v>8.24</v>
      </c>
    </row>
    <row r="21">
      <c r="A21" s="10" t="inlineStr">
        <is>
          <t>HAS/YUM</t>
        </is>
      </c>
      <c r="B21" s="7" t="n">
        <v>-1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21" t="n">
        <v>47.74</v>
      </c>
      <c r="C6" s="17" t="n">
        <v>1.95</v>
      </c>
      <c r="D6" s="17" t="n">
        <v>0.059</v>
      </c>
      <c r="E6" s="17" t="n">
        <v>116</v>
      </c>
      <c r="F6" s="17" t="inlineStr">
        <is>
          <t>0.059 (t=0.41)</t>
        </is>
      </c>
      <c r="G6" s="17" t="inlineStr">
        <is>
          <t>-0.119 (t=-0.54)</t>
        </is>
      </c>
      <c r="H6" s="17" t="inlineStr">
        <is>
          <t>-0.059 (t=-0.3)</t>
        </is>
      </c>
      <c r="I6" s="17" t="inlineStr">
        <is>
          <t>0.244 (t=1.32)</t>
        </is>
      </c>
      <c r="J6" s="17" t="inlineStr">
        <is>
          <t>-0.208 (t=-0.72)</t>
        </is>
      </c>
      <c r="K6" s="17" t="inlineStr">
        <is>
          <t>-0.141 (t=-1.36)</t>
        </is>
      </c>
    </row>
    <row r="7">
      <c r="A7" s="10" t="inlineStr">
        <is>
          <t>MTFS</t>
        </is>
      </c>
      <c r="B7" s="23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0.757</v>
      </c>
      <c r="C4" s="7" t="n">
        <v>18.007</v>
      </c>
      <c r="D4" s="7" t="n">
        <v>0</v>
      </c>
      <c r="E4" s="7" t="b">
        <v>1</v>
      </c>
      <c r="F4" s="7" t="n">
        <v>2.463</v>
      </c>
      <c r="G4" s="7" t="n">
        <v>2.463</v>
      </c>
      <c r="H4" s="7" t="n">
        <v>0</v>
      </c>
    </row>
    <row r="5">
      <c r="A5" s="12" t="inlineStr">
        <is>
          <t>MRPT</t>
        </is>
      </c>
      <c r="B5" s="17" t="n">
        <v>-0.398</v>
      </c>
      <c r="C5" s="17" t="n">
        <v>2.433</v>
      </c>
      <c r="D5" s="17" t="n">
        <v>0</v>
      </c>
      <c r="E5" s="17" t="b">
        <v>1</v>
      </c>
      <c r="F5" s="17" t="n">
        <v>1.583</v>
      </c>
      <c r="G5" s="17" t="n">
        <v>1.645</v>
      </c>
      <c r="H5" s="17" t="n">
        <v>0.062</v>
      </c>
    </row>
    <row r="6">
      <c r="A6" s="10" t="inlineStr">
        <is>
          <t>MTFS</t>
        </is>
      </c>
      <c r="B6" s="7" t="n">
        <v>1.816</v>
      </c>
      <c r="C6" s="7" t="n">
        <v>22.11</v>
      </c>
      <c r="D6" s="7" t="n">
        <v>0</v>
      </c>
      <c r="E6" s="7" t="b">
        <v>1</v>
      </c>
      <c r="F6" s="7" t="n">
        <v>5.193</v>
      </c>
      <c r="G6" s="7" t="n">
        <v>5.193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1.464</v>
      </c>
      <c r="C9" s="7" t="n">
        <v>0.8808</v>
      </c>
      <c r="D9" s="7" t="n">
        <v>311</v>
      </c>
      <c r="E9" s="7" t="n">
        <v>8.699999999999999</v>
      </c>
      <c r="F9" s="7" t="n">
        <v>9.470000000000001</v>
      </c>
      <c r="G9" s="7" t="n">
        <v>75.8</v>
      </c>
      <c r="H9" s="7" t="n">
        <v>5.02</v>
      </c>
      <c r="I9" s="7" t="n">
        <v>2.51</v>
      </c>
      <c r="J9" s="7" t="n">
        <v>1.333</v>
      </c>
    </row>
    <row r="10">
      <c r="A10" s="12" t="inlineStr">
        <is>
          <t>MRPT</t>
        </is>
      </c>
      <c r="B10" s="17" t="n">
        <v>1.33</v>
      </c>
      <c r="C10" s="17" t="n">
        <v>0.8498</v>
      </c>
      <c r="D10" s="17" t="n">
        <v>402</v>
      </c>
      <c r="E10" s="17" t="n">
        <v>9.34</v>
      </c>
      <c r="F10" s="17" t="n">
        <v>9.57</v>
      </c>
      <c r="G10" s="17" t="n">
        <v>78.3</v>
      </c>
      <c r="H10" s="17" t="n">
        <v>6.33</v>
      </c>
      <c r="I10" s="17" t="n">
        <v>3.17</v>
      </c>
      <c r="J10" s="17" t="n">
        <v>0.5679999999999999</v>
      </c>
    </row>
    <row r="11">
      <c r="A11" s="10" t="inlineStr">
        <is>
          <t>MTFS</t>
        </is>
      </c>
      <c r="B11" s="7" t="n">
        <v>1.188</v>
      </c>
      <c r="C11" s="7" t="n">
        <v>0.8403</v>
      </c>
      <c r="D11" s="7" t="n">
        <v>435</v>
      </c>
      <c r="E11" s="7" t="n">
        <v>15.42</v>
      </c>
      <c r="F11" s="7" t="n">
        <v>18.48</v>
      </c>
      <c r="G11" s="7" t="n">
        <v>78.90000000000001</v>
      </c>
      <c r="H11" s="7" t="n">
        <v>2.08</v>
      </c>
      <c r="I11" s="7" t="n">
        <v>1.04</v>
      </c>
      <c r="J11" s="7" t="n">
        <v>2.12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2026-06-25T01:37:45Z</dcterms:created>
  <dcterms:modified xmlns:dcterms="http://purl.org/dc/terms/" xmlns:xsi="http://www.w3.org/2001/XMLSchema-instance" xsi:type="dcterms:W3CDTF">2026-06-25T01:37:45Z</dcterms:modified>
</cp:coreProperties>
</file>