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FF3CD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Trend'!$A$4:$A$155</f>
            </numRef>
          </cat>
          <val>
            <numRef>
              <f>'NAV Trend'!$B$4:$B$155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2026-06-10  ·  Generated 2026-06-25T01:49:33  ·  Scope: MRPT+MTFS pairs book (model-based, broker-reconciled)</t>
        </is>
      </c>
    </row>
    <row r="4">
      <c r="A4" s="3" t="inlineStr">
        <is>
          <t>NAV (equity)</t>
        </is>
      </c>
      <c r="B4" s="4" t="n">
        <v>1054547.31</v>
      </c>
    </row>
    <row r="5">
      <c r="A5" s="3" t="inlineStr">
        <is>
          <t>Gross leverage (x)</t>
        </is>
      </c>
      <c r="B5" s="5" t="n">
        <v>1.243</v>
      </c>
    </row>
    <row r="6">
      <c r="A6" s="3" t="inlineStr">
        <is>
          <t>Net leverage (x)</t>
        </is>
      </c>
      <c r="B6" s="6" t="n">
        <v>0.406</v>
      </c>
    </row>
    <row r="7">
      <c r="A7" s="3" t="inlineStr">
        <is>
          <t>Net market beta (target≈0)</t>
        </is>
      </c>
      <c r="B7" s="6" t="n">
        <v>0.804</v>
      </c>
    </row>
    <row r="8">
      <c r="A8" s="3" t="inlineStr">
        <is>
          <t>VaR 95% 1-day ($)</t>
        </is>
      </c>
      <c r="B8" s="4" t="n">
        <v>21466.42</v>
      </c>
    </row>
    <row r="9">
      <c r="A9" s="3" t="inlineStr">
        <is>
          <t>VaR 95% 1-day (% NAV)</t>
        </is>
      </c>
      <c r="B9" s="5" t="n">
        <v>2.04</v>
      </c>
    </row>
    <row r="10">
      <c r="A10" s="3" t="inlineStr">
        <is>
          <t>Annual vol (% NAV)</t>
        </is>
      </c>
      <c r="B10" s="5" t="n">
        <v>19.64</v>
      </c>
    </row>
    <row r="11">
      <c r="A11" s="3" t="inlineStr">
        <is>
          <t>Sharpe (annual)</t>
        </is>
      </c>
      <c r="B11" s="5" t="n">
        <v>1.111</v>
      </c>
    </row>
    <row r="12">
      <c r="A12" s="3" t="inlineStr">
        <is>
          <t>PSR( SR&gt;0 )</t>
        </is>
      </c>
      <c r="B12" s="6" t="n">
        <v>0.8018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3.94 / 1.97</t>
        </is>
      </c>
    </row>
    <row r="15">
      <c r="A15" s="3" t="inlineStr">
        <is>
          <t>Actual gross leverage (x)</t>
        </is>
      </c>
      <c r="B15" s="5" t="n">
        <v>1.243</v>
      </c>
    </row>
    <row r="16">
      <c r="A16" s="3" t="inlineStr">
        <is>
          <t>Max single-name</t>
        </is>
      </c>
      <c r="B16" s="7" t="inlineStr">
        <is>
          <t>STLD (25.8% NAV)</t>
        </is>
      </c>
    </row>
    <row r="17">
      <c r="A17" s="3" t="inlineStr">
        <is>
          <t>Max sector net (% gross)</t>
        </is>
      </c>
      <c r="B17" s="5" t="n">
        <v>33.32</v>
      </c>
    </row>
    <row r="18">
      <c r="A18" s="3" t="inlineStr">
        <is>
          <t>Open pairs</t>
        </is>
      </c>
      <c r="B18" s="5" t="n">
        <v>9</v>
      </c>
    </row>
    <row r="19">
      <c r="A19" s="3" t="inlineStr">
        <is>
          <t>Limit breaches</t>
        </is>
      </c>
      <c r="B19" s="5" t="n">
        <v>7</v>
      </c>
    </row>
    <row r="20">
      <c r="A20" s="3" t="inlineStr">
        <is>
          <t>Worst breach</t>
        </is>
      </c>
      <c r="B20" s="7" t="inlineStr">
        <is>
          <t>single_name_gross:STLD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175909.04</v>
      </c>
      <c r="C5" s="4" t="n">
        <v>136845.07</v>
      </c>
      <c r="D5" s="11" t="n">
        <v>0</v>
      </c>
      <c r="E5" s="4" t="n">
        <v>447777.75</v>
      </c>
    </row>
    <row r="6">
      <c r="A6" s="12" t="inlineStr">
        <is>
          <t>Restricted Cash 受限现金 (PB 102%)</t>
        </is>
      </c>
      <c r="B6" s="13" t="n">
        <v>450206.36</v>
      </c>
      <c r="C6" s="13" t="n">
        <v>500708.01</v>
      </c>
      <c r="D6" s="13" t="n">
        <v>999495.37</v>
      </c>
      <c r="E6" s="13" t="n">
        <v>313235.69</v>
      </c>
    </row>
    <row r="7">
      <c r="A7" s="10" t="inlineStr">
        <is>
          <t>Long Securities 多头证券</t>
        </is>
      </c>
      <c r="B7" s="4" t="n">
        <v>869810.6899999999</v>
      </c>
      <c r="C7" s="4" t="n">
        <v>909026.52</v>
      </c>
      <c r="D7" s="4" t="n">
        <v>2024865.34</v>
      </c>
      <c r="E7" s="4" t="n">
        <v>560149.25</v>
      </c>
    </row>
    <row r="8">
      <c r="A8" s="14" t="inlineStr">
        <is>
          <t>Total Assets 总资产</t>
        </is>
      </c>
      <c r="B8" s="13" t="n">
        <v>1495926.09</v>
      </c>
      <c r="C8" s="13" t="n">
        <v>1546579.6</v>
      </c>
      <c r="D8" s="13" t="n">
        <v>3024360.71</v>
      </c>
      <c r="E8" s="13" t="n">
        <v>1321162.7</v>
      </c>
    </row>
    <row r="9">
      <c r="A9" s="10" t="inlineStr">
        <is>
          <t>Short Securities 空头证券 (义务)</t>
        </is>
      </c>
      <c r="B9" s="4" t="n">
        <v>441378.78</v>
      </c>
      <c r="C9" s="4" t="n">
        <v>490890.21</v>
      </c>
      <c r="D9" s="4" t="n">
        <v>979897.42</v>
      </c>
      <c r="E9" s="4" t="n">
        <v>307093.82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935905.24</v>
      </c>
      <c r="E10" s="15" t="n">
        <v>0</v>
      </c>
    </row>
    <row r="11">
      <c r="A11" s="16" t="inlineStr">
        <is>
          <t>Total Liabilities 总负债</t>
        </is>
      </c>
      <c r="B11" s="4" t="n">
        <v>441378.78</v>
      </c>
      <c r="C11" s="4" t="n">
        <v>490890.21</v>
      </c>
      <c r="D11" s="4" t="n">
        <v>1915802.66</v>
      </c>
      <c r="E11" s="4" t="n">
        <v>307093.82</v>
      </c>
    </row>
    <row r="12">
      <c r="A12" s="14" t="inlineStr">
        <is>
          <t>NAV (Equity) 净值 = TA - TL</t>
        </is>
      </c>
      <c r="B12" s="13" t="n">
        <v>1054547.31</v>
      </c>
      <c r="C12" s="13" t="n">
        <v>1055689.39</v>
      </c>
      <c r="D12" s="13" t="n">
        <v>1108558.05</v>
      </c>
      <c r="E12" s="13" t="n">
        <v>1014068.88</v>
      </c>
    </row>
    <row r="13">
      <c r="A13" s="10" t="inlineStr">
        <is>
          <t>Gross Leverage 总杠杆 (x)</t>
        </is>
      </c>
      <c r="B13" s="7" t="n">
        <v>1.243</v>
      </c>
      <c r="C13" s="7" t="n">
        <v>1.326</v>
      </c>
      <c r="D13" s="7" t="n">
        <v>2.711</v>
      </c>
      <c r="E13" s="7" t="n">
        <v>0.855</v>
      </c>
    </row>
    <row r="14">
      <c r="A14" s="12" t="inlineStr">
        <is>
          <t>Net Leverage 净杠杆 (x)</t>
        </is>
      </c>
      <c r="B14" s="17" t="n">
        <v>0.406</v>
      </c>
      <c r="C14" s="17" t="n">
        <v>0.396</v>
      </c>
      <c r="D14" s="17" t="n">
        <v>0.9429999999999999</v>
      </c>
      <c r="E14" s="17" t="n">
        <v>0.25</v>
      </c>
    </row>
    <row r="15">
      <c r="A15" s="10" t="inlineStr">
        <is>
          <t>PM Requirement (20%)</t>
        </is>
      </c>
      <c r="B15" s="4" t="n">
        <v>262237.89</v>
      </c>
      <c r="C15" s="4" t="n">
        <v>279983.35</v>
      </c>
      <c r="D15" s="4" t="n">
        <v>600952.55</v>
      </c>
      <c r="E15" s="4" t="n">
        <v>173448.61</v>
      </c>
    </row>
    <row r="16">
      <c r="A16" s="12" t="inlineStr">
        <is>
          <t>Excess Liquidity 超额流动性</t>
        </is>
      </c>
      <c r="B16" s="13" t="n">
        <v>792309.42</v>
      </c>
      <c r="C16" s="13" t="n">
        <v>775706.04</v>
      </c>
      <c r="D16" s="13" t="n">
        <v>507605.5</v>
      </c>
      <c r="E16" s="13" t="n">
        <v>840620.27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869810.6899999999</v>
      </c>
      <c r="C21" s="4" t="n">
        <v>909026.52</v>
      </c>
      <c r="D21" s="4" t="n">
        <v>1108558.05</v>
      </c>
      <c r="E21" s="4" t="n">
        <v>560149.25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869810.6899999999</v>
      </c>
      <c r="C23" s="4" t="n">
        <v>909026.52</v>
      </c>
      <c r="D23" s="4" t="n">
        <v>2024865.34</v>
      </c>
      <c r="E23" s="4" t="n">
        <v>560149.25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916307.29</v>
      </c>
      <c r="E24" s="15" t="n">
        <v>0</v>
      </c>
    </row>
    <row r="25">
      <c r="A25" s="16" t="inlineStr">
        <is>
          <t>Long Book — NAV</t>
        </is>
      </c>
      <c r="B25" s="4" t="n">
        <v>869810.6899999999</v>
      </c>
      <c r="C25" s="4" t="n">
        <v>909026.52</v>
      </c>
      <c r="D25" s="4" t="n">
        <v>1108558.05</v>
      </c>
      <c r="E25" s="4" t="n">
        <v>560149.25</v>
      </c>
    </row>
    <row r="26">
      <c r="A26" s="12" t="inlineStr">
        <is>
          <t>Short Book — Allocated Capital 分配资本</t>
        </is>
      </c>
      <c r="B26" s="13" t="n">
        <v>8827.58</v>
      </c>
      <c r="C26" s="13" t="n">
        <v>9817.799999999999</v>
      </c>
      <c r="D26" s="15" t="n">
        <v>0</v>
      </c>
      <c r="E26" s="13" t="n">
        <v>6141.88</v>
      </c>
    </row>
    <row r="27">
      <c r="A27" s="10" t="inlineStr">
        <is>
          <t>Short Book — Collateral 担保金</t>
        </is>
      </c>
      <c r="B27" s="4" t="n">
        <v>8827.58</v>
      </c>
      <c r="C27" s="4" t="n">
        <v>9817.799999999999</v>
      </c>
      <c r="D27" s="11" t="n">
        <v>0</v>
      </c>
      <c r="E27" s="4" t="n">
        <v>6141.88</v>
      </c>
    </row>
    <row r="28">
      <c r="A28" s="12" t="inlineStr">
        <is>
          <t>Short Book — Short Proceeds 做空收入</t>
        </is>
      </c>
      <c r="B28" s="13" t="n">
        <v>441378.78</v>
      </c>
      <c r="C28" s="13" t="n">
        <v>490890.21</v>
      </c>
      <c r="D28" s="13" t="n">
        <v>979897.42</v>
      </c>
      <c r="E28" s="13" t="n">
        <v>307093.82</v>
      </c>
    </row>
    <row r="29">
      <c r="A29" s="10" t="inlineStr">
        <is>
          <t>Short Book — Market Value 市值(负债)</t>
        </is>
      </c>
      <c r="B29" s="4" t="n">
        <v>441378.78</v>
      </c>
      <c r="C29" s="4" t="n">
        <v>490890.21</v>
      </c>
      <c r="D29" s="4" t="n">
        <v>979897.42</v>
      </c>
      <c r="E29" s="4" t="n">
        <v>307093.82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19597.95</v>
      </c>
      <c r="E30" s="15" t="n">
        <v>0</v>
      </c>
    </row>
    <row r="31">
      <c r="A31" s="16" t="inlineStr">
        <is>
          <t>Short Book — NAV</t>
        </is>
      </c>
      <c r="B31" s="4" t="n">
        <v>8827.58</v>
      </c>
      <c r="C31" s="4" t="n">
        <v>9817.799999999999</v>
      </c>
      <c r="D31" s="11" t="n">
        <v>0</v>
      </c>
      <c r="E31" s="4" t="n">
        <v>6141.88</v>
      </c>
    </row>
    <row r="32">
      <c r="A32" s="12" t="inlineStr">
        <is>
          <t>Unallocated Cash 未分配现金</t>
        </is>
      </c>
      <c r="B32" s="13" t="n">
        <v>175909.04</v>
      </c>
      <c r="C32" s="13" t="n">
        <v>136845.07</v>
      </c>
      <c r="D32" s="15" t="n">
        <v>0</v>
      </c>
      <c r="E32" s="13" t="n">
        <v>447777.75</v>
      </c>
    </row>
    <row r="33">
      <c r="A33" s="16" t="inlineStr">
        <is>
          <t>Dual-View NAV 双账户法NAV</t>
        </is>
      </c>
      <c r="B33" s="4" t="n">
        <v>1054547.31</v>
      </c>
      <c r="C33" s="4" t="n">
        <v>1055689.39</v>
      </c>
      <c r="D33" s="4" t="n">
        <v>1108558.05</v>
      </c>
      <c r="E33" s="4" t="n">
        <v>1014068.88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478787.36</v>
      </c>
      <c r="C39" s="4" t="n">
        <v>468937.27</v>
      </c>
      <c r="D39" s="4" t="n">
        <v>479480.23</v>
      </c>
      <c r="E39" s="4" t="n">
        <v>409659.12</v>
      </c>
    </row>
    <row r="40">
      <c r="A40" s="12" t="inlineStr">
        <is>
          <t>Restricted Cash 受限现金 (PB 102%)</t>
        </is>
      </c>
      <c r="B40" s="13" t="n">
        <v>88702.46000000001</v>
      </c>
      <c r="C40" s="13" t="n">
        <v>99198.59</v>
      </c>
      <c r="D40" s="13" t="n">
        <v>86290.31</v>
      </c>
      <c r="E40" s="13" t="n">
        <v>192254.49</v>
      </c>
    </row>
    <row r="41">
      <c r="A41" s="10" t="inlineStr">
        <is>
          <t>Long Securities 多头证券</t>
        </is>
      </c>
      <c r="B41" s="4" t="n">
        <v>85087.86</v>
      </c>
      <c r="C41" s="4" t="n">
        <v>96238.08</v>
      </c>
      <c r="D41" s="4" t="n">
        <v>95940</v>
      </c>
      <c r="E41" s="4" t="n">
        <v>169800.12</v>
      </c>
    </row>
    <row r="42">
      <c r="A42" s="14" t="inlineStr">
        <is>
          <t>Total Assets 总资产</t>
        </is>
      </c>
      <c r="B42" s="13" t="n">
        <v>652577.6800000001</v>
      </c>
      <c r="C42" s="13" t="n">
        <v>664373.9399999999</v>
      </c>
      <c r="D42" s="13" t="n">
        <v>661710.54</v>
      </c>
      <c r="E42" s="13" t="n">
        <v>771713.74</v>
      </c>
    </row>
    <row r="43">
      <c r="A43" s="10" t="inlineStr">
        <is>
          <t>Short Securities 空头证券 (义务)</t>
        </is>
      </c>
      <c r="B43" s="4" t="n">
        <v>86963.2</v>
      </c>
      <c r="C43" s="4" t="n">
        <v>97253.52</v>
      </c>
      <c r="D43" s="4" t="n">
        <v>84598.34</v>
      </c>
      <c r="E43" s="4" t="n">
        <v>188484.8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86963.2</v>
      </c>
      <c r="C45" s="4" t="n">
        <v>97253.52</v>
      </c>
      <c r="D45" s="4" t="n">
        <v>84598.34</v>
      </c>
      <c r="E45" s="4" t="n">
        <v>188484.8</v>
      </c>
    </row>
    <row r="46">
      <c r="A46" s="14" t="inlineStr">
        <is>
          <t>NAV (Equity) 净值 = TA - TL</t>
        </is>
      </c>
      <c r="B46" s="13" t="n">
        <v>565614.48</v>
      </c>
      <c r="C46" s="13" t="n">
        <v>567120.42</v>
      </c>
      <c r="D46" s="13" t="n">
        <v>577112.2</v>
      </c>
      <c r="E46" s="13" t="n">
        <v>583228.9399999999</v>
      </c>
    </row>
    <row r="47">
      <c r="A47" s="10" t="inlineStr">
        <is>
          <t>Gross Leverage 总杠杆 (x)</t>
        </is>
      </c>
      <c r="B47" s="7" t="n">
        <v>0.304</v>
      </c>
      <c r="C47" s="7" t="n">
        <v>0.341</v>
      </c>
      <c r="D47" s="7" t="n">
        <v>0.313</v>
      </c>
      <c r="E47" s="7" t="n">
        <v>0.614</v>
      </c>
    </row>
    <row r="48">
      <c r="A48" s="12" t="inlineStr">
        <is>
          <t>Net Leverage 净杠杆 (x)</t>
        </is>
      </c>
      <c r="B48" s="17" t="n">
        <v>-0.003</v>
      </c>
      <c r="C48" s="17" t="n">
        <v>-0.002</v>
      </c>
      <c r="D48" s="17" t="n">
        <v>0.02</v>
      </c>
      <c r="E48" s="17" t="n">
        <v>-0.032</v>
      </c>
    </row>
    <row r="49">
      <c r="A49" s="10" t="inlineStr">
        <is>
          <t>PM Requirement (20%)</t>
        </is>
      </c>
      <c r="B49" s="4" t="n">
        <v>34410.21</v>
      </c>
      <c r="C49" s="4" t="n">
        <v>38698.32</v>
      </c>
      <c r="D49" s="4" t="n">
        <v>36107.67</v>
      </c>
      <c r="E49" s="4" t="n">
        <v>71656.98</v>
      </c>
    </row>
    <row r="50">
      <c r="A50" s="12" t="inlineStr">
        <is>
          <t>Excess Liquidity 超额流动性</t>
        </is>
      </c>
      <c r="B50" s="13" t="n">
        <v>531204.27</v>
      </c>
      <c r="C50" s="13" t="n">
        <v>528422.1</v>
      </c>
      <c r="D50" s="13" t="n">
        <v>541004.53</v>
      </c>
      <c r="E50" s="13" t="n">
        <v>511571.96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-0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85087.86</v>
      </c>
      <c r="C55" s="4" t="n">
        <v>96238.08</v>
      </c>
      <c r="D55" s="4" t="n">
        <v>95940</v>
      </c>
      <c r="E55" s="4" t="n">
        <v>169800.12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85087.86</v>
      </c>
      <c r="C57" s="4" t="n">
        <v>96238.08</v>
      </c>
      <c r="D57" s="4" t="n">
        <v>95940</v>
      </c>
      <c r="E57" s="4" t="n">
        <v>169800.12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85087.86</v>
      </c>
      <c r="C59" s="4" t="n">
        <v>96238.08</v>
      </c>
      <c r="D59" s="4" t="n">
        <v>95940</v>
      </c>
      <c r="E59" s="4" t="n">
        <v>169800.12</v>
      </c>
    </row>
    <row r="60">
      <c r="A60" s="12" t="inlineStr">
        <is>
          <t>Short Book — Allocated Capital 分配资本</t>
        </is>
      </c>
      <c r="B60" s="13" t="n">
        <v>1739.26</v>
      </c>
      <c r="C60" s="13" t="n">
        <v>1945.07</v>
      </c>
      <c r="D60" s="13" t="n">
        <v>1691.97</v>
      </c>
      <c r="E60" s="13" t="n">
        <v>3769.7</v>
      </c>
    </row>
    <row r="61">
      <c r="A61" s="10" t="inlineStr">
        <is>
          <t>Short Book — Collateral 担保金</t>
        </is>
      </c>
      <c r="B61" s="4" t="n">
        <v>1739.26</v>
      </c>
      <c r="C61" s="4" t="n">
        <v>1945.07</v>
      </c>
      <c r="D61" s="4" t="n">
        <v>1691.97</v>
      </c>
      <c r="E61" s="4" t="n">
        <v>3769.7</v>
      </c>
    </row>
    <row r="62">
      <c r="A62" s="12" t="inlineStr">
        <is>
          <t>Short Book — Short Proceeds 做空收入</t>
        </is>
      </c>
      <c r="B62" s="13" t="n">
        <v>86963.2</v>
      </c>
      <c r="C62" s="13" t="n">
        <v>97253.52</v>
      </c>
      <c r="D62" s="13" t="n">
        <v>84598.34</v>
      </c>
      <c r="E62" s="13" t="n">
        <v>188484.8</v>
      </c>
    </row>
    <row r="63">
      <c r="A63" s="10" t="inlineStr">
        <is>
          <t>Short Book — Market Value 市值(负债)</t>
        </is>
      </c>
      <c r="B63" s="4" t="n">
        <v>86963.2</v>
      </c>
      <c r="C63" s="4" t="n">
        <v>97253.52</v>
      </c>
      <c r="D63" s="4" t="n">
        <v>84598.34</v>
      </c>
      <c r="E63" s="4" t="n">
        <v>188484.8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1739.26</v>
      </c>
      <c r="C65" s="4" t="n">
        <v>1945.07</v>
      </c>
      <c r="D65" s="4" t="n">
        <v>1691.97</v>
      </c>
      <c r="E65" s="4" t="n">
        <v>3769.7</v>
      </c>
    </row>
    <row r="66">
      <c r="A66" s="12" t="inlineStr">
        <is>
          <t>Unallocated Cash 未分配现金</t>
        </is>
      </c>
      <c r="B66" s="13" t="n">
        <v>478787.36</v>
      </c>
      <c r="C66" s="13" t="n">
        <v>468937.27</v>
      </c>
      <c r="D66" s="13" t="n">
        <v>479480.23</v>
      </c>
      <c r="E66" s="13" t="n">
        <v>409659.12</v>
      </c>
    </row>
    <row r="67">
      <c r="A67" s="16" t="inlineStr">
        <is>
          <t>Dual-View NAV 双账户法NAV</t>
        </is>
      </c>
      <c r="B67" s="4" t="n">
        <v>565614.48</v>
      </c>
      <c r="C67" s="4" t="n">
        <v>567120.42</v>
      </c>
      <c r="D67" s="4" t="n">
        <v>577112.2</v>
      </c>
      <c r="E67" s="4" t="n">
        <v>583228.9399999999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38118.63</v>
      </c>
    </row>
    <row r="74">
      <c r="A74" s="12" t="inlineStr">
        <is>
          <t>Restricted Cash 受限现金 (PB 102%)</t>
        </is>
      </c>
      <c r="B74" s="13" t="n">
        <v>361503.89</v>
      </c>
      <c r="C74" s="13" t="n">
        <v>401509.42</v>
      </c>
      <c r="D74" s="13" t="n">
        <v>913205.0600000001</v>
      </c>
      <c r="E74" s="13" t="n">
        <v>120981.2</v>
      </c>
    </row>
    <row r="75">
      <c r="A75" s="10" t="inlineStr">
        <is>
          <t>Long Securities 多头证券</t>
        </is>
      </c>
      <c r="B75" s="4" t="n">
        <v>784722.83</v>
      </c>
      <c r="C75" s="4" t="n">
        <v>812788.4399999999</v>
      </c>
      <c r="D75" s="4" t="n">
        <v>1928925.34</v>
      </c>
      <c r="E75" s="4" t="n">
        <v>390349.13</v>
      </c>
    </row>
    <row r="76">
      <c r="A76" s="14" t="inlineStr">
        <is>
          <t>Total Assets 总资产</t>
        </is>
      </c>
      <c r="B76" s="13" t="n">
        <v>1146226.72</v>
      </c>
      <c r="C76" s="13" t="n">
        <v>1214297.86</v>
      </c>
      <c r="D76" s="13" t="n">
        <v>2842130.4</v>
      </c>
      <c r="E76" s="13" t="n">
        <v>549448.96</v>
      </c>
    </row>
    <row r="77">
      <c r="A77" s="10" t="inlineStr">
        <is>
          <t>Short Securities 空头证券 (义务)</t>
        </is>
      </c>
      <c r="B77" s="4" t="n">
        <v>354415.58</v>
      </c>
      <c r="C77" s="4" t="n">
        <v>393636.69</v>
      </c>
      <c r="D77" s="4" t="n">
        <v>895299.08</v>
      </c>
      <c r="E77" s="4" t="n">
        <v>118609.02</v>
      </c>
    </row>
    <row r="78">
      <c r="A78" s="12" t="inlineStr">
        <is>
          <t>Margin Loan 保证金借款</t>
        </is>
      </c>
      <c r="B78" s="13" t="n">
        <v>302878.31</v>
      </c>
      <c r="C78" s="13" t="n">
        <v>332092.2</v>
      </c>
      <c r="D78" s="13" t="n">
        <v>1415385.47</v>
      </c>
      <c r="E78" s="15" t="n">
        <v>0</v>
      </c>
    </row>
    <row r="79">
      <c r="A79" s="16" t="inlineStr">
        <is>
          <t>Total Liabilities 总负债</t>
        </is>
      </c>
      <c r="B79" s="4" t="n">
        <v>657293.89</v>
      </c>
      <c r="C79" s="4" t="n">
        <v>725728.89</v>
      </c>
      <c r="D79" s="4" t="n">
        <v>2310684.55</v>
      </c>
      <c r="E79" s="4" t="n">
        <v>118609.02</v>
      </c>
    </row>
    <row r="80">
      <c r="A80" s="14" t="inlineStr">
        <is>
          <t>NAV (Equity) 净值 = TA - TL</t>
        </is>
      </c>
      <c r="B80" s="13" t="n">
        <v>488932.83</v>
      </c>
      <c r="C80" s="13" t="n">
        <v>488568.97</v>
      </c>
      <c r="D80" s="13" t="n">
        <v>531445.85</v>
      </c>
      <c r="E80" s="13" t="n">
        <v>430839.94</v>
      </c>
    </row>
    <row r="81">
      <c r="A81" s="10" t="inlineStr">
        <is>
          <t>Gross Leverage 总杠杆 (x)</t>
        </is>
      </c>
      <c r="B81" s="7" t="n">
        <v>2.33</v>
      </c>
      <c r="C81" s="7" t="n">
        <v>2.469</v>
      </c>
      <c r="D81" s="7" t="n">
        <v>5.314</v>
      </c>
      <c r="E81" s="7" t="n">
        <v>1.181</v>
      </c>
    </row>
    <row r="82">
      <c r="A82" s="12" t="inlineStr">
        <is>
          <t>Net Leverage 净杠杆 (x)</t>
        </is>
      </c>
      <c r="B82" s="17" t="n">
        <v>0.88</v>
      </c>
      <c r="C82" s="17" t="n">
        <v>0.858</v>
      </c>
      <c r="D82" s="17" t="n">
        <v>1.945</v>
      </c>
      <c r="E82" s="17" t="n">
        <v>0.631</v>
      </c>
    </row>
    <row r="83">
      <c r="A83" s="10" t="inlineStr">
        <is>
          <t>PM Requirement (20%)</t>
        </is>
      </c>
      <c r="B83" s="4" t="n">
        <v>227827.68</v>
      </c>
      <c r="C83" s="4" t="n">
        <v>241285.03</v>
      </c>
      <c r="D83" s="4" t="n">
        <v>564844.88</v>
      </c>
      <c r="E83" s="4" t="n">
        <v>101791.63</v>
      </c>
    </row>
    <row r="84">
      <c r="A84" s="12" t="inlineStr">
        <is>
          <t>Excess Liquidity 超额流动性</t>
        </is>
      </c>
      <c r="B84" s="13" t="n">
        <v>261105.15</v>
      </c>
      <c r="C84" s="13" t="n">
        <v>247283.94</v>
      </c>
      <c r="D84" s="18" t="n">
        <v>-33399.03</v>
      </c>
      <c r="E84" s="13" t="n">
        <v>329048.31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488932.83</v>
      </c>
      <c r="C89" s="4" t="n">
        <v>488568.97</v>
      </c>
      <c r="D89" s="4" t="n">
        <v>531445.85</v>
      </c>
      <c r="E89" s="4" t="n">
        <v>390349.13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784722.83</v>
      </c>
      <c r="C91" s="4" t="n">
        <v>812788.4399999999</v>
      </c>
      <c r="D91" s="4" t="n">
        <v>1928925.34</v>
      </c>
      <c r="E91" s="4" t="n">
        <v>390349.13</v>
      </c>
    </row>
    <row r="92">
      <c r="A92" s="12" t="inlineStr">
        <is>
          <t>Long Book — Margin Loan 融资</t>
        </is>
      </c>
      <c r="B92" s="13" t="n">
        <v>295790</v>
      </c>
      <c r="C92" s="13" t="n">
        <v>324219.47</v>
      </c>
      <c r="D92" s="13" t="n">
        <v>1397479.49</v>
      </c>
      <c r="E92" s="15" t="n">
        <v>0</v>
      </c>
    </row>
    <row r="93">
      <c r="A93" s="16" t="inlineStr">
        <is>
          <t>Long Book — NAV</t>
        </is>
      </c>
      <c r="B93" s="4" t="n">
        <v>488932.83</v>
      </c>
      <c r="C93" s="4" t="n">
        <v>488568.97</v>
      </c>
      <c r="D93" s="4" t="n">
        <v>531445.85</v>
      </c>
      <c r="E93" s="4" t="n">
        <v>390349.13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2372.18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2372.18</v>
      </c>
    </row>
    <row r="96">
      <c r="A96" s="12" t="inlineStr">
        <is>
          <t>Short Book — Short Proceeds 做空收入</t>
        </is>
      </c>
      <c r="B96" s="13" t="n">
        <v>354415.58</v>
      </c>
      <c r="C96" s="13" t="n">
        <v>393636.69</v>
      </c>
      <c r="D96" s="13" t="n">
        <v>895299.08</v>
      </c>
      <c r="E96" s="13" t="n">
        <v>118609.02</v>
      </c>
    </row>
    <row r="97">
      <c r="A97" s="10" t="inlineStr">
        <is>
          <t>Short Book — Market Value 市值(负债)</t>
        </is>
      </c>
      <c r="B97" s="4" t="n">
        <v>354415.58</v>
      </c>
      <c r="C97" s="4" t="n">
        <v>393636.69</v>
      </c>
      <c r="D97" s="4" t="n">
        <v>895299.08</v>
      </c>
      <c r="E97" s="4" t="n">
        <v>118609.02</v>
      </c>
    </row>
    <row r="98">
      <c r="A98" s="12" t="inlineStr">
        <is>
          <t>Short Book — Margin Loan 融资(2%)</t>
        </is>
      </c>
      <c r="B98" s="13" t="n">
        <v>7088.31</v>
      </c>
      <c r="C98" s="13" t="n">
        <v>7872.73</v>
      </c>
      <c r="D98" s="13" t="n">
        <v>17905.98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2372.18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38118.63</v>
      </c>
    </row>
    <row r="101">
      <c r="A101" s="16" t="inlineStr">
        <is>
          <t>Dual-View NAV 双账户法NAV</t>
        </is>
      </c>
      <c r="B101" s="4" t="n">
        <v>488932.83</v>
      </c>
      <c r="C101" s="4" t="n">
        <v>488568.97</v>
      </c>
      <c r="D101" s="4" t="n">
        <v>531445.85</v>
      </c>
      <c r="E101" s="4" t="n">
        <v>430839.94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-1142.08</v>
      </c>
      <c r="C5" s="19" t="n">
        <v>-54010.74</v>
      </c>
      <c r="D5" s="4" t="n">
        <v>40478.43</v>
      </c>
      <c r="E5" s="4" t="n">
        <v>133048.52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24694.87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-1505.94</v>
      </c>
      <c r="C11" s="19" t="n">
        <v>-11497.72</v>
      </c>
      <c r="D11" s="19" t="n">
        <v>-17614.46</v>
      </c>
      <c r="E11" s="4" t="n">
        <v>56282.54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-1697.28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363.86</v>
      </c>
      <c r="C17" s="19" t="n">
        <v>-42513.02</v>
      </c>
      <c r="D17" s="4" t="n">
        <v>58092.89</v>
      </c>
      <c r="E17" s="4" t="n">
        <v>76765.98</v>
      </c>
    </row>
    <row r="18">
      <c r="A18" s="12" t="inlineStr">
        <is>
          <t>Interest expense (est)</t>
        </is>
      </c>
      <c r="B18" s="15" t="n">
        <v>41.49</v>
      </c>
      <c r="C18" s="13" t="n">
        <v>207.45</v>
      </c>
      <c r="D18" s="13" t="n">
        <v>871.29</v>
      </c>
      <c r="E18" s="13" t="n">
        <v>6306.51</v>
      </c>
    </row>
    <row r="19">
      <c r="A19" s="10" t="inlineStr">
        <is>
          <t>Current unrealized PnL</t>
        </is>
      </c>
      <c r="B19" s="4" t="n">
        <v>26392.15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1055689.39</v>
      </c>
      <c r="C5" s="4" t="n">
        <v>1108558.05</v>
      </c>
      <c r="D5" s="4" t="n">
        <v>1014068.88</v>
      </c>
      <c r="E5" s="4" t="n">
        <v>921498.79</v>
      </c>
    </row>
    <row r="6">
      <c r="A6" s="12" t="inlineStr">
        <is>
          <t>Net income</t>
        </is>
      </c>
      <c r="B6" s="18" t="n">
        <v>-1142.08</v>
      </c>
      <c r="C6" s="18" t="n">
        <v>-54010.74</v>
      </c>
      <c r="D6" s="13" t="n">
        <v>40478.43</v>
      </c>
      <c r="E6" s="13" t="n">
        <v>133048.52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1054547.31</v>
      </c>
      <c r="C9" s="4" t="n">
        <v>1054547.31</v>
      </c>
      <c r="D9" s="4" t="n">
        <v>1054547.31</v>
      </c>
      <c r="E9" s="4" t="n">
        <v>1054547.31</v>
      </c>
    </row>
    <row r="10">
      <c r="A10" s="12" t="inlineStr">
        <is>
          <t>Return (%)</t>
        </is>
      </c>
      <c r="B10" s="20" t="n">
        <v>-0.11</v>
      </c>
      <c r="C10" s="20" t="n">
        <v>-4.87</v>
      </c>
      <c r="D10" s="21" t="n">
        <v>3.99</v>
      </c>
      <c r="E10" s="21" t="n">
        <v>14.44</v>
      </c>
    </row>
    <row r="11">
      <c r="A11" s="10" t="inlineStr">
        <is>
          <t>Max drawdown (%)</t>
        </is>
      </c>
      <c r="B11" s="22" t="n">
        <v>-0.11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567120.42</v>
      </c>
      <c r="C15" s="4" t="n">
        <v>577112.2</v>
      </c>
      <c r="D15" s="4" t="n">
        <v>583228.9399999999</v>
      </c>
      <c r="E15" s="4" t="n">
        <v>509331.94</v>
      </c>
    </row>
    <row r="16">
      <c r="A16" s="12" t="inlineStr">
        <is>
          <t>Net income</t>
        </is>
      </c>
      <c r="B16" s="18" t="n">
        <v>-1505.94</v>
      </c>
      <c r="C16" s="18" t="n">
        <v>-11497.72</v>
      </c>
      <c r="D16" s="18" t="n">
        <v>-17614.46</v>
      </c>
      <c r="E16" s="13" t="n">
        <v>56282.54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565614.48</v>
      </c>
      <c r="C19" s="4" t="n">
        <v>565614.48</v>
      </c>
      <c r="D19" s="4" t="n">
        <v>565614.48</v>
      </c>
      <c r="E19" s="4" t="n">
        <v>565614.48</v>
      </c>
    </row>
    <row r="20">
      <c r="A20" s="12" t="inlineStr">
        <is>
          <t>Return (%)</t>
        </is>
      </c>
      <c r="B20" s="20" t="n">
        <v>-0.27</v>
      </c>
      <c r="C20" s="20" t="n">
        <v>-1.99</v>
      </c>
      <c r="D20" s="20" t="n">
        <v>-3.02</v>
      </c>
      <c r="E20" s="21" t="n">
        <v>11.05</v>
      </c>
    </row>
    <row r="21">
      <c r="A21" s="10" t="inlineStr">
        <is>
          <t>Max drawdown (%)</t>
        </is>
      </c>
      <c r="B21" s="22" t="n">
        <v>-0.27</v>
      </c>
      <c r="C21" s="22" t="n">
        <v>-1.99</v>
      </c>
      <c r="D21" s="22" t="n">
        <v>-3.55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488568.97</v>
      </c>
      <c r="C25" s="4" t="n">
        <v>531445.85</v>
      </c>
      <c r="D25" s="4" t="n">
        <v>430839.94</v>
      </c>
      <c r="E25" s="4" t="n">
        <v>412166.85</v>
      </c>
    </row>
    <row r="26">
      <c r="A26" s="12" t="inlineStr">
        <is>
          <t>Net income</t>
        </is>
      </c>
      <c r="B26" s="13" t="n">
        <v>363.86</v>
      </c>
      <c r="C26" s="18" t="n">
        <v>-42513.02</v>
      </c>
      <c r="D26" s="13" t="n">
        <v>58092.89</v>
      </c>
      <c r="E26" s="13" t="n">
        <v>76765.98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488932.83</v>
      </c>
      <c r="C29" s="4" t="n">
        <v>488932.83</v>
      </c>
      <c r="D29" s="4" t="n">
        <v>488932.83</v>
      </c>
      <c r="E29" s="4" t="n">
        <v>488932.83</v>
      </c>
    </row>
    <row r="30">
      <c r="A30" s="12" t="inlineStr">
        <is>
          <t>Return (%)</t>
        </is>
      </c>
      <c r="B30" s="21" t="n">
        <v>0.07000000000000001</v>
      </c>
      <c r="C30" s="20" t="n">
        <v>-8</v>
      </c>
      <c r="D30" s="21" t="n">
        <v>13.48</v>
      </c>
      <c r="E30" s="21" t="n">
        <v>18.62</v>
      </c>
    </row>
    <row r="31">
      <c r="A31" s="10" t="inlineStr">
        <is>
          <t>Max drawdown (%)</t>
        </is>
      </c>
      <c r="B31" s="23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9" t="n">
        <v>-54010.74</v>
      </c>
    </row>
    <row r="5">
      <c r="A5" s="3" t="inlineStr">
        <is>
          <t>Investing cash flow</t>
        </is>
      </c>
      <c r="B5" s="4" t="n">
        <v>616536.01</v>
      </c>
    </row>
    <row r="6">
      <c r="A6" s="3" t="inlineStr">
        <is>
          <t>Financing cash flow</t>
        </is>
      </c>
      <c r="B6" s="19" t="n">
        <v>-935905.24</v>
      </c>
    </row>
    <row r="7">
      <c r="A7" s="3" t="inlineStr">
        <is>
          <t>Net change in cash</t>
        </is>
      </c>
      <c r="B7" s="19" t="n">
        <v>-373379.97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175909.04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1054547.31</v>
      </c>
      <c r="C4" s="4" t="n">
        <v>869810.6899999999</v>
      </c>
      <c r="D4" s="4" t="n">
        <v>441378.78</v>
      </c>
      <c r="E4" s="4" t="n">
        <v>1311189.47</v>
      </c>
      <c r="F4" s="4" t="n">
        <v>428431.91</v>
      </c>
      <c r="G4" s="5" t="n">
        <v>1.243</v>
      </c>
      <c r="H4" s="5" t="n">
        <v>0.406</v>
      </c>
      <c r="I4" s="5" t="n">
        <v>124.34</v>
      </c>
      <c r="J4" s="5" t="n">
        <v>62.17</v>
      </c>
      <c r="K4" s="24" t="n">
        <v>9</v>
      </c>
    </row>
    <row r="5">
      <c r="A5" s="12" t="inlineStr">
        <is>
          <t>MRPT</t>
        </is>
      </c>
      <c r="B5" s="13" t="n">
        <v>565614.48</v>
      </c>
      <c r="C5" s="13" t="n">
        <v>85087.86</v>
      </c>
      <c r="D5" s="13" t="n">
        <v>86963.2</v>
      </c>
      <c r="E5" s="13" t="n">
        <v>172051.06</v>
      </c>
      <c r="F5" s="18" t="n">
        <v>-1875.34</v>
      </c>
      <c r="G5" s="25" t="n">
        <v>0.304</v>
      </c>
      <c r="H5" s="25" t="n">
        <v>-0.003</v>
      </c>
      <c r="I5" s="25" t="n">
        <v>30.42</v>
      </c>
      <c r="J5" s="25" t="n">
        <v>15.21</v>
      </c>
      <c r="K5" s="26" t="n">
        <v>1</v>
      </c>
    </row>
    <row r="6">
      <c r="A6" s="10" t="inlineStr">
        <is>
          <t>MTFS</t>
        </is>
      </c>
      <c r="B6" s="4" t="n">
        <v>488932.83</v>
      </c>
      <c r="C6" s="4" t="n">
        <v>784722.83</v>
      </c>
      <c r="D6" s="4" t="n">
        <v>354415.58</v>
      </c>
      <c r="E6" s="4" t="n">
        <v>1139138.41</v>
      </c>
      <c r="F6" s="4" t="n">
        <v>430307.25</v>
      </c>
      <c r="G6" s="5" t="n">
        <v>2.33</v>
      </c>
      <c r="H6" s="5" t="n">
        <v>0.88</v>
      </c>
      <c r="I6" s="5" t="n">
        <v>232.98</v>
      </c>
      <c r="J6" s="5" t="n">
        <v>116.49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HHI=0.1207  ·  effective N pairs=8.3  ·  max pair=18.49%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272096.76</v>
      </c>
      <c r="C6" s="4" t="n">
        <v>272096.76</v>
      </c>
      <c r="D6" s="23" t="n">
        <v>25.8</v>
      </c>
      <c r="E6" s="23" t="n">
        <v>20.75</v>
      </c>
      <c r="F6" s="24" t="n">
        <v>2</v>
      </c>
    </row>
    <row r="7">
      <c r="A7" s="12" t="inlineStr">
        <is>
          <t>KLAC</t>
        </is>
      </c>
      <c r="B7" s="13" t="n">
        <v>243462.96</v>
      </c>
      <c r="C7" s="13" t="n">
        <v>243462.96</v>
      </c>
      <c r="D7" s="21" t="n">
        <v>23.09</v>
      </c>
      <c r="E7" s="21" t="n">
        <v>18.57</v>
      </c>
      <c r="F7" s="26" t="n">
        <v>2</v>
      </c>
    </row>
    <row r="8">
      <c r="A8" s="10" t="inlineStr">
        <is>
          <t>NUE</t>
        </is>
      </c>
      <c r="B8" s="4" t="n">
        <v>164822.42</v>
      </c>
      <c r="C8" s="4" t="n">
        <v>164822.42</v>
      </c>
      <c r="D8" s="23" t="n">
        <v>15.63</v>
      </c>
      <c r="E8" s="23" t="n">
        <v>12.57</v>
      </c>
      <c r="F8" s="24" t="n">
        <v>2</v>
      </c>
    </row>
    <row r="9">
      <c r="A9" s="12" t="inlineStr">
        <is>
          <t>PFE</t>
        </is>
      </c>
      <c r="B9" s="13" t="n">
        <v>86963.2</v>
      </c>
      <c r="C9" s="18" t="n">
        <v>-86963.2</v>
      </c>
      <c r="D9" s="21" t="n">
        <v>8.25</v>
      </c>
      <c r="E9" s="21" t="n">
        <v>6.63</v>
      </c>
      <c r="F9" s="26" t="n">
        <v>1</v>
      </c>
    </row>
    <row r="10">
      <c r="A10" s="10" t="inlineStr">
        <is>
          <t>HAS</t>
        </is>
      </c>
      <c r="B10" s="4" t="n">
        <v>85087.86</v>
      </c>
      <c r="C10" s="4" t="n">
        <v>85087.86</v>
      </c>
      <c r="D10" s="23" t="n">
        <v>8.07</v>
      </c>
      <c r="E10" s="23" t="n">
        <v>6.49</v>
      </c>
      <c r="F10" s="24" t="n">
        <v>1</v>
      </c>
    </row>
    <row r="11">
      <c r="A11" s="12" t="inlineStr">
        <is>
          <t>FMC</t>
        </is>
      </c>
      <c r="B11" s="13" t="n">
        <v>73904.39999999999</v>
      </c>
      <c r="C11" s="18" t="n">
        <v>-73904.39999999999</v>
      </c>
      <c r="D11" s="21" t="n">
        <v>7.01</v>
      </c>
      <c r="E11" s="21" t="n">
        <v>5.64</v>
      </c>
      <c r="F11" s="26" t="n">
        <v>1</v>
      </c>
    </row>
    <row r="12">
      <c r="A12" s="10" t="inlineStr">
        <is>
          <t>HST</t>
        </is>
      </c>
      <c r="B12" s="4" t="n">
        <v>53815.65</v>
      </c>
      <c r="C12" s="4" t="n">
        <v>53815.65</v>
      </c>
      <c r="D12" s="23" t="n">
        <v>5.1</v>
      </c>
      <c r="E12" s="23" t="n">
        <v>4.1</v>
      </c>
      <c r="F12" s="24" t="n">
        <v>1</v>
      </c>
    </row>
    <row r="13">
      <c r="A13" s="12" t="inlineStr">
        <is>
          <t>UHS</t>
        </is>
      </c>
      <c r="B13" s="13" t="n">
        <v>51845.56</v>
      </c>
      <c r="C13" s="18" t="n">
        <v>-51845.56</v>
      </c>
      <c r="D13" s="21" t="n">
        <v>4.92</v>
      </c>
      <c r="E13" s="21" t="n">
        <v>3.95</v>
      </c>
      <c r="F13" s="26" t="n">
        <v>1</v>
      </c>
    </row>
    <row r="14">
      <c r="A14" s="10" t="inlineStr">
        <is>
          <t>UNH</t>
        </is>
      </c>
      <c r="B14" s="4" t="n">
        <v>50525.04</v>
      </c>
      <c r="C14" s="4" t="n">
        <v>50525.04</v>
      </c>
      <c r="D14" s="23" t="n">
        <v>4.79</v>
      </c>
      <c r="E14" s="23" t="n">
        <v>3.85</v>
      </c>
      <c r="F14" s="24" t="n">
        <v>1</v>
      </c>
    </row>
    <row r="15">
      <c r="A15" s="12" t="inlineStr">
        <is>
          <t>ULTA</t>
        </is>
      </c>
      <c r="B15" s="13" t="n">
        <v>50370.25</v>
      </c>
      <c r="C15" s="18" t="n">
        <v>-50370.25</v>
      </c>
      <c r="D15" s="21" t="n">
        <v>4.78</v>
      </c>
      <c r="E15" s="21" t="n">
        <v>3.84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436919.18</v>
      </c>
      <c r="C20" s="11" t="n">
        <v>0</v>
      </c>
      <c r="D20" s="4" t="n">
        <v>436919.18</v>
      </c>
      <c r="E20" s="7" t="n">
        <v>33.32</v>
      </c>
    </row>
    <row r="21">
      <c r="A21" s="12" t="inlineStr">
        <is>
          <t>tech</t>
        </is>
      </c>
      <c r="B21" s="13" t="n">
        <v>243462.96</v>
      </c>
      <c r="C21" s="13" t="n">
        <v>72304.46000000001</v>
      </c>
      <c r="D21" s="13" t="n">
        <v>171158.5</v>
      </c>
      <c r="E21" s="17" t="n">
        <v>13.05</v>
      </c>
    </row>
    <row r="22">
      <c r="A22" s="10" t="inlineStr">
        <is>
          <t>health</t>
        </is>
      </c>
      <c r="B22" s="4" t="n">
        <v>50525.04</v>
      </c>
      <c r="C22" s="4" t="n">
        <v>152646.71</v>
      </c>
      <c r="D22" s="19" t="n">
        <v>-102121.67</v>
      </c>
      <c r="E22" s="7" t="n">
        <v>-7.79</v>
      </c>
    </row>
    <row r="23">
      <c r="A23" s="12" t="inlineStr">
        <is>
          <t>food</t>
        </is>
      </c>
      <c r="B23" s="13" t="n">
        <v>85087.86</v>
      </c>
      <c r="C23" s="13" t="n">
        <v>167244.41</v>
      </c>
      <c r="D23" s="18" t="n">
        <v>-82156.55</v>
      </c>
      <c r="E23" s="17" t="n">
        <v>-6.27</v>
      </c>
    </row>
    <row r="24">
      <c r="A24" s="10" t="inlineStr">
        <is>
          <t>realestate</t>
        </is>
      </c>
      <c r="B24" s="4" t="n">
        <v>53815.65</v>
      </c>
      <c r="C24" s="11" t="n">
        <v>0</v>
      </c>
      <c r="D24" s="4" t="n">
        <v>53815.65</v>
      </c>
      <c r="E24" s="7" t="n">
        <v>4.1</v>
      </c>
    </row>
    <row r="25">
      <c r="A25" s="12" t="inlineStr">
        <is>
          <t>industrial</t>
        </is>
      </c>
      <c r="B25" s="15" t="n">
        <v>0</v>
      </c>
      <c r="C25" s="13" t="n">
        <v>49183.2</v>
      </c>
      <c r="D25" s="18" t="n">
        <v>-49183.2</v>
      </c>
      <c r="E25" s="17" t="n">
        <v>-3.75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0.804</v>
      </c>
    </row>
    <row r="4">
      <c r="A4" s="3" t="inlineStr">
        <is>
          <t>Gross beta</t>
        </is>
      </c>
      <c r="B4" s="5" t="n">
        <v>1.284</v>
      </c>
    </row>
    <row r="5">
      <c r="A5" s="3" t="inlineStr">
        <is>
          <t>Momentum factor net (% NAV)</t>
        </is>
      </c>
      <c r="B5" s="5" t="n">
        <v>40.8</v>
      </c>
    </row>
    <row r="6">
      <c r="A6" s="3" t="inlineStr">
        <is>
          <t>Beta data insufficient</t>
        </is>
      </c>
      <c r="B6" s="7" t="inlineStr">
        <is>
          <t>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3" t="n">
        <v>33.32</v>
      </c>
    </row>
    <row r="11">
      <c r="A11" s="12" t="inlineStr">
        <is>
          <t>tech</t>
        </is>
      </c>
      <c r="B11" s="21" t="n">
        <v>13.05</v>
      </c>
    </row>
    <row r="12">
      <c r="A12" s="10" t="inlineStr">
        <is>
          <t>health</t>
        </is>
      </c>
      <c r="B12" s="22" t="n">
        <v>-7.79</v>
      </c>
    </row>
    <row r="13">
      <c r="A13" s="12" t="inlineStr">
        <is>
          <t>food</t>
        </is>
      </c>
      <c r="B13" s="20" t="n">
        <v>-6.27</v>
      </c>
    </row>
    <row r="14">
      <c r="A14" s="10" t="inlineStr">
        <is>
          <t>realestate</t>
        </is>
      </c>
      <c r="B14" s="23" t="n">
        <v>4.1</v>
      </c>
    </row>
    <row r="15">
      <c r="A15" s="12" t="inlineStr">
        <is>
          <t>industrial</t>
        </is>
      </c>
      <c r="B15" s="20" t="n">
        <v>-3.75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21466.42</v>
      </c>
    </row>
    <row r="4">
      <c r="A4" s="3" t="inlineStr">
        <is>
          <t>Parametric VaR 99% 1d ($)</t>
        </is>
      </c>
      <c r="B4" s="4" t="n">
        <v>30353.13</v>
      </c>
    </row>
    <row r="5">
      <c r="A5" s="3" t="inlineStr">
        <is>
          <t>Annual vol ($)</t>
        </is>
      </c>
      <c r="B5" s="4" t="n">
        <v>207154.36</v>
      </c>
    </row>
    <row r="6">
      <c r="A6" s="3" t="inlineStr">
        <is>
          <t>Annual vol (% NAV)</t>
        </is>
      </c>
      <c r="B6" s="5" t="n">
        <v>19.64</v>
      </c>
    </row>
    <row r="7">
      <c r="A7" s="3" t="inlineStr">
        <is>
          <t>Historical VaR 95% 1d ($)</t>
        </is>
      </c>
      <c r="B7" s="4" t="n">
        <v>13540.83</v>
      </c>
    </row>
    <row r="8">
      <c r="A8" s="3" t="inlineStr">
        <is>
          <t>Historical CVaR 95% 1d ($)</t>
        </is>
      </c>
      <c r="B8" s="4" t="n">
        <v>20936.62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STLD/FMC</t>
        </is>
      </c>
      <c r="B12" s="4" t="n">
        <v>5751.57</v>
      </c>
      <c r="C12" s="7" t="n">
        <v>26.79</v>
      </c>
    </row>
    <row r="13">
      <c r="A13" s="12" t="inlineStr">
        <is>
          <t>KLAC/REGN</t>
        </is>
      </c>
      <c r="B13" s="13" t="n">
        <v>5031.28</v>
      </c>
      <c r="C13" s="17" t="n">
        <v>23.44</v>
      </c>
    </row>
    <row r="14">
      <c r="A14" s="10" t="inlineStr">
        <is>
          <t>KLAC/TRMB</t>
        </is>
      </c>
      <c r="B14" s="4" t="n">
        <v>3513.61</v>
      </c>
      <c r="C14" s="7" t="n">
        <v>16.37</v>
      </c>
    </row>
    <row r="15">
      <c r="A15" s="12" t="inlineStr">
        <is>
          <t>STLD/UHS</t>
        </is>
      </c>
      <c r="B15" s="13" t="n">
        <v>2357.17</v>
      </c>
      <c r="C15" s="17" t="n">
        <v>10.98</v>
      </c>
    </row>
    <row r="16">
      <c r="A16" s="10" t="inlineStr">
        <is>
          <t>NUE/MKTX</t>
        </is>
      </c>
      <c r="B16" s="4" t="n">
        <v>1748.73</v>
      </c>
      <c r="C16" s="7" t="n">
        <v>8.15</v>
      </c>
    </row>
    <row r="17">
      <c r="A17" s="12" t="inlineStr">
        <is>
          <t>NUE/INTU</t>
        </is>
      </c>
      <c r="B17" s="13" t="n">
        <v>1692.05</v>
      </c>
      <c r="C17" s="17" t="n">
        <v>7.88</v>
      </c>
    </row>
    <row r="18">
      <c r="A18" s="10" t="inlineStr">
        <is>
          <t>HST/MOS</t>
        </is>
      </c>
      <c r="B18" s="4" t="n">
        <v>783.95</v>
      </c>
      <c r="C18" s="7" t="n">
        <v>3.65</v>
      </c>
    </row>
    <row r="19">
      <c r="A19" s="12" t="inlineStr">
        <is>
          <t>HAS/PFE</t>
        </is>
      </c>
      <c r="B19" s="13" t="n">
        <v>309.26</v>
      </c>
      <c r="C19" s="17" t="n">
        <v>1.44</v>
      </c>
    </row>
    <row r="20">
      <c r="A20" s="10" t="inlineStr">
        <is>
          <t>UNH/ULTA</t>
        </is>
      </c>
      <c r="B20" s="4" t="n">
        <v>278.81</v>
      </c>
      <c r="C20" s="7" t="n">
        <v>1.3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3175552</v>
      </c>
      <c r="E6" s="7" t="n">
        <v>0.01</v>
      </c>
    </row>
    <row r="7">
      <c r="A7" s="12" t="inlineStr">
        <is>
          <t>HAS</t>
        </is>
      </c>
      <c r="B7" s="17" t="inlineStr">
        <is>
          <t>HAS/PFE</t>
        </is>
      </c>
      <c r="C7" s="13" t="n">
        <v>1034</v>
      </c>
      <c r="D7" s="13" t="n">
        <v>2139316</v>
      </c>
      <c r="E7" s="17" t="n">
        <v>0</v>
      </c>
    </row>
    <row r="8">
      <c r="A8" s="10" t="inlineStr">
        <is>
          <t>PFE</t>
        </is>
      </c>
      <c r="B8" s="7" t="inlineStr">
        <is>
          <t>HAS/PFE</t>
        </is>
      </c>
      <c r="C8" s="4" t="n">
        <v>3397</v>
      </c>
      <c r="D8" s="4" t="n">
        <v>33059301</v>
      </c>
      <c r="E8" s="7" t="n">
        <v>0</v>
      </c>
    </row>
    <row r="9">
      <c r="A9" s="12" t="inlineStr">
        <is>
          <t>KLAC</t>
        </is>
      </c>
      <c r="B9" s="17" t="inlineStr">
        <is>
          <t>KLAC/REGN</t>
        </is>
      </c>
      <c r="C9" s="13" t="n">
        <v>670</v>
      </c>
      <c r="D9" s="13" t="n">
        <v>3046345</v>
      </c>
      <c r="E9" s="17" t="n">
        <v>0</v>
      </c>
    </row>
    <row r="10">
      <c r="A10" s="10" t="inlineStr">
        <is>
          <t>REGN</t>
        </is>
      </c>
      <c r="B10" s="7" t="inlineStr">
        <is>
          <t>KLAC/REGN</t>
        </is>
      </c>
      <c r="C10" s="11" t="n">
        <v>23</v>
      </c>
      <c r="D10" s="4" t="n">
        <v>1102391</v>
      </c>
      <c r="E10" s="7" t="n">
        <v>0</v>
      </c>
    </row>
    <row r="11">
      <c r="A11" s="12" t="inlineStr">
        <is>
          <t>NUE</t>
        </is>
      </c>
      <c r="B11" s="17" t="inlineStr">
        <is>
          <t>NUE/INTU</t>
        </is>
      </c>
      <c r="C11" s="13" t="n">
        <v>329</v>
      </c>
      <c r="D11" s="13" t="n">
        <v>1408637</v>
      </c>
      <c r="E11" s="17" t="n">
        <v>0</v>
      </c>
    </row>
    <row r="12">
      <c r="A12" s="10" t="inlineStr">
        <is>
          <t>INTU</t>
        </is>
      </c>
      <c r="B12" s="7" t="inlineStr">
        <is>
          <t>NUE/INTU</t>
        </is>
      </c>
      <c r="C12" s="11" t="n">
        <v>82</v>
      </c>
      <c r="D12" s="4" t="n">
        <v>6155217</v>
      </c>
      <c r="E12" s="7" t="n">
        <v>0</v>
      </c>
    </row>
    <row r="13">
      <c r="A13" s="12" t="inlineStr">
        <is>
          <t>NUE</t>
        </is>
      </c>
      <c r="B13" s="17" t="inlineStr">
        <is>
          <t>NUE/MKTX</t>
        </is>
      </c>
      <c r="C13" s="13" t="n">
        <v>329</v>
      </c>
      <c r="D13" s="13" t="n">
        <v>1408637</v>
      </c>
      <c r="E13" s="17" t="n">
        <v>0</v>
      </c>
    </row>
    <row r="14">
      <c r="A14" s="10" t="inlineStr">
        <is>
          <t>MKTX</t>
        </is>
      </c>
      <c r="B14" s="7" t="inlineStr">
        <is>
          <t>NUE/MKTX</t>
        </is>
      </c>
      <c r="C14" s="4" t="n">
        <v>422</v>
      </c>
      <c r="D14" s="4" t="n">
        <v>721296</v>
      </c>
      <c r="E14" s="7" t="n">
        <v>0</v>
      </c>
    </row>
    <row r="15">
      <c r="A15" s="12" t="inlineStr">
        <is>
          <t>STLD</t>
        </is>
      </c>
      <c r="B15" s="17" t="inlineStr">
        <is>
          <t>STLD/UHS</t>
        </is>
      </c>
      <c r="C15" s="13" t="n">
        <v>386</v>
      </c>
      <c r="D15" s="13" t="n">
        <v>1103538</v>
      </c>
      <c r="E15" s="17" t="n">
        <v>0</v>
      </c>
    </row>
    <row r="16">
      <c r="A16" s="10" t="inlineStr">
        <is>
          <t>UHS</t>
        </is>
      </c>
      <c r="B16" s="7" t="inlineStr">
        <is>
          <t>STLD/UHS</t>
        </is>
      </c>
      <c r="C16" s="4" t="n">
        <v>358</v>
      </c>
      <c r="D16" s="4" t="n">
        <v>1031090</v>
      </c>
      <c r="E16" s="7" t="n">
        <v>0</v>
      </c>
    </row>
    <row r="17">
      <c r="A17" s="12" t="inlineStr">
        <is>
          <t>STLD</t>
        </is>
      </c>
      <c r="B17" s="17" t="inlineStr">
        <is>
          <t>STLD/FMC</t>
        </is>
      </c>
      <c r="C17" s="13" t="n">
        <v>628</v>
      </c>
      <c r="D17" s="13" t="n">
        <v>1103538</v>
      </c>
      <c r="E17" s="17" t="n">
        <v>0</v>
      </c>
    </row>
    <row r="18">
      <c r="A18" s="10" t="inlineStr">
        <is>
          <t>HST</t>
        </is>
      </c>
      <c r="B18" s="7" t="inlineStr">
        <is>
          <t>HST/MOS</t>
        </is>
      </c>
      <c r="C18" s="4" t="n">
        <v>2247</v>
      </c>
      <c r="D18" s="4" t="n">
        <v>8680193</v>
      </c>
      <c r="E18" s="7" t="n">
        <v>0</v>
      </c>
    </row>
    <row r="19">
      <c r="A19" s="12" t="inlineStr">
        <is>
          <t>MOS</t>
        </is>
      </c>
      <c r="B19" s="17" t="inlineStr">
        <is>
          <t>HST/MOS</t>
        </is>
      </c>
      <c r="C19" s="13" t="n">
        <v>2168</v>
      </c>
      <c r="D19" s="13" t="n">
        <v>8809289</v>
      </c>
      <c r="E19" s="17" t="n">
        <v>0</v>
      </c>
    </row>
    <row r="20">
      <c r="A20" s="10" t="inlineStr">
        <is>
          <t>KLAC</t>
        </is>
      </c>
      <c r="B20" s="7" t="inlineStr">
        <is>
          <t>KLAC/TRMB</t>
        </is>
      </c>
      <c r="C20" s="4" t="n">
        <v>470</v>
      </c>
      <c r="D20" s="4" t="n">
        <v>3046345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-42392.8</v>
      </c>
      <c r="C4" s="22" t="n">
        <v>-4.02</v>
      </c>
    </row>
    <row r="5">
      <c r="A5" s="12" t="inlineStr">
        <is>
          <t>SPY -10%</t>
        </is>
      </c>
      <c r="B5" s="18" t="n">
        <v>-84785.60000000001</v>
      </c>
      <c r="C5" s="20" t="n">
        <v>-8.039999999999999</v>
      </c>
    </row>
    <row r="6">
      <c r="A6" s="10" t="inlineStr">
        <is>
          <t>VIX +10pt</t>
        </is>
      </c>
      <c r="B6" s="19" t="n">
        <v>-42392.8</v>
      </c>
      <c r="C6" s="22" t="n">
        <v>-4.02</v>
      </c>
    </row>
    <row r="7">
      <c r="A7" s="12" t="inlineStr">
        <is>
          <t>Top sector -10%</t>
        </is>
      </c>
      <c r="B7" s="18" t="n">
        <v>-43691.92</v>
      </c>
      <c r="C7" s="20" t="n">
        <v>-4.14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2.33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0.88</v>
      </c>
      <c r="D7" s="32" t="n">
        <v>0.5</v>
      </c>
      <c r="E7" s="32" t="n">
        <v>1</v>
      </c>
      <c r="F7" s="32" t="inlineStr">
        <is>
          <t>amber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25.8</v>
      </c>
      <c r="D8" s="34" t="n">
        <v>15</v>
      </c>
      <c r="E8" s="34" t="n">
        <v>25</v>
      </c>
      <c r="F8" s="34" t="inlineStr">
        <is>
          <t>red</t>
        </is>
      </c>
    </row>
    <row r="9">
      <c r="A9" s="31" t="inlineStr">
        <is>
          <t>single_name_gross</t>
        </is>
      </c>
      <c r="B9" s="32" t="inlineStr">
        <is>
          <t>KLAC</t>
        </is>
      </c>
      <c r="C9" s="32" t="n">
        <v>23.09</v>
      </c>
      <c r="D9" s="32" t="n">
        <v>15</v>
      </c>
      <c r="E9" s="32" t="n">
        <v>25</v>
      </c>
      <c r="F9" s="32" t="inlineStr">
        <is>
          <t>amber</t>
        </is>
      </c>
    </row>
    <row r="10">
      <c r="A10" s="31" t="inlineStr">
        <is>
          <t>single_name_gross</t>
        </is>
      </c>
      <c r="B10" s="32" t="inlineStr">
        <is>
          <t>NUE</t>
        </is>
      </c>
      <c r="C10" s="32" t="n">
        <v>15.63</v>
      </c>
      <c r="D10" s="32" t="n">
        <v>15</v>
      </c>
      <c r="E10" s="32" t="n">
        <v>25</v>
      </c>
      <c r="F10" s="32" t="inlineStr">
        <is>
          <t>amber</t>
        </is>
      </c>
    </row>
    <row r="11">
      <c r="A11" s="31" t="inlineStr">
        <is>
          <t>sector_net</t>
        </is>
      </c>
      <c r="B11" s="32" t="inlineStr">
        <is>
          <t>materials</t>
        </is>
      </c>
      <c r="C11" s="32" t="n">
        <v>33.32</v>
      </c>
      <c r="D11" s="32" t="n">
        <v>30</v>
      </c>
      <c r="E11" s="32" t="n">
        <v>50</v>
      </c>
      <c r="F11" s="32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18.49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0.8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2.04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1" t="inlineStr">
        <is>
          <t>open_pairs</t>
        </is>
      </c>
      <c r="B16" s="32" t="inlineStr">
        <is>
          <t>mtfs</t>
        </is>
      </c>
      <c r="C16" s="32" t="n">
        <v>8</v>
      </c>
      <c r="D16" s="32" t="n">
        <v>8</v>
      </c>
      <c r="E16" s="32" t="n"/>
      <c r="F16" s="32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6" t="n">
        <v>1034</v>
      </c>
      <c r="F4" s="15" t="n">
        <v>82.29000000000001</v>
      </c>
      <c r="G4" s="13" t="n">
        <v>85087.86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4" t="n">
        <v>-3397</v>
      </c>
      <c r="F5" s="11" t="n">
        <v>25.6</v>
      </c>
      <c r="G5" s="19" t="n">
        <v>-86963.2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6" t="n">
        <v>670</v>
      </c>
      <c r="F6" s="13" t="n">
        <v>213.56</v>
      </c>
      <c r="G6" s="13" t="n">
        <v>143087.88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4" t="n">
        <v>-23</v>
      </c>
      <c r="F7" s="4" t="n">
        <v>601.65</v>
      </c>
      <c r="G7" s="19" t="n">
        <v>-13837.95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250.49</v>
      </c>
      <c r="G8" s="13" t="n">
        <v>82411.21000000001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4" t="n">
        <v>-82</v>
      </c>
      <c r="F9" s="4" t="n">
        <v>284.22</v>
      </c>
      <c r="G9" s="19" t="n">
        <v>-23306.04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NUE/MKTX</t>
        </is>
      </c>
      <c r="C10" s="17" t="inlineStr">
        <is>
          <t>NUE</t>
        </is>
      </c>
      <c r="D10" s="17" t="inlineStr">
        <is>
          <t>long</t>
        </is>
      </c>
      <c r="E10" s="26" t="n">
        <v>329</v>
      </c>
      <c r="F10" s="13" t="n">
        <v>250.49</v>
      </c>
      <c r="G10" s="13" t="n">
        <v>82411.21000000001</v>
      </c>
      <c r="H10" s="17" t="inlineStr">
        <is>
          <t>materials</t>
        </is>
      </c>
      <c r="I10" s="17" t="n">
        <v>0</v>
      </c>
      <c r="J10" s="17" t="inlineStr">
        <is>
          <t>weekly_aligned_windows</t>
        </is>
      </c>
    </row>
    <row r="11">
      <c r="A11" s="10" t="inlineStr">
        <is>
          <t>MTFS</t>
        </is>
      </c>
      <c r="B11" s="7" t="inlineStr">
        <is>
          <t>NUE/MKTX</t>
        </is>
      </c>
      <c r="C11" s="7" t="inlineStr">
        <is>
          <t>MKTX</t>
        </is>
      </c>
      <c r="D11" s="7" t="inlineStr">
        <is>
          <t>short</t>
        </is>
      </c>
      <c r="E11" s="24" t="n">
        <v>-422</v>
      </c>
      <c r="F11" s="4" t="n">
        <v>116.11</v>
      </c>
      <c r="G11" s="19" t="n">
        <v>-48998.42</v>
      </c>
      <c r="H11" s="7" t="inlineStr">
        <is>
          <t>tech</t>
        </is>
      </c>
      <c r="I11" s="7" t="n">
        <v>0</v>
      </c>
      <c r="J11" s="7" t="inlineStr">
        <is>
          <t>weekly_aligned_windows</t>
        </is>
      </c>
    </row>
    <row r="12">
      <c r="A12" s="12" t="inlineStr">
        <is>
          <t>MTFS</t>
        </is>
      </c>
      <c r="B12" s="17" t="inlineStr">
        <is>
          <t>STLD/UHS</t>
        </is>
      </c>
      <c r="C12" s="17" t="inlineStr">
        <is>
          <t>STLD</t>
        </is>
      </c>
      <c r="D12" s="17" t="inlineStr">
        <is>
          <t>long</t>
        </is>
      </c>
      <c r="E12" s="26" t="n">
        <v>386</v>
      </c>
      <c r="F12" s="13" t="n">
        <v>268.34</v>
      </c>
      <c r="G12" s="13" t="n">
        <v>103579.24</v>
      </c>
      <c r="H12" s="17" t="inlineStr">
        <is>
          <t>materials</t>
        </is>
      </c>
      <c r="I12" s="17" t="n">
        <v>1</v>
      </c>
      <c r="J12" s="17" t="inlineStr">
        <is>
          <t>no_reversal_protection</t>
        </is>
      </c>
    </row>
    <row r="13">
      <c r="A13" s="10" t="inlineStr">
        <is>
          <t>MTFS</t>
        </is>
      </c>
      <c r="B13" s="7" t="inlineStr">
        <is>
          <t>STLD/UHS</t>
        </is>
      </c>
      <c r="C13" s="7" t="inlineStr">
        <is>
          <t>UHS</t>
        </is>
      </c>
      <c r="D13" s="7" t="inlineStr">
        <is>
          <t>short</t>
        </is>
      </c>
      <c r="E13" s="24" t="n">
        <v>-358</v>
      </c>
      <c r="F13" s="4" t="n">
        <v>144.82</v>
      </c>
      <c r="G13" s="19" t="n">
        <v>-51845.56</v>
      </c>
      <c r="H13" s="7" t="inlineStr">
        <is>
          <t>health</t>
        </is>
      </c>
      <c r="I13" s="7" t="n">
        <v>1</v>
      </c>
      <c r="J13" s="7" t="inlineStr">
        <is>
          <t>no_reversal_protection</t>
        </is>
      </c>
    </row>
    <row r="14">
      <c r="A14" s="12" t="inlineStr">
        <is>
          <t>MTFS</t>
        </is>
      </c>
      <c r="B14" s="17" t="inlineStr">
        <is>
          <t>STLD/FMC</t>
        </is>
      </c>
      <c r="C14" s="17" t="inlineStr">
        <is>
          <t>STLD</t>
        </is>
      </c>
      <c r="D14" s="17" t="inlineStr">
        <is>
          <t>long</t>
        </is>
      </c>
      <c r="E14" s="26" t="n">
        <v>628</v>
      </c>
      <c r="F14" s="13" t="n">
        <v>268.34</v>
      </c>
      <c r="G14" s="13" t="n">
        <v>168517.52</v>
      </c>
      <c r="H14" s="17" t="inlineStr">
        <is>
          <t>materials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STLD/FMC</t>
        </is>
      </c>
      <c r="C15" s="7" t="inlineStr">
        <is>
          <t>FMC</t>
        </is>
      </c>
      <c r="D15" s="7" t="inlineStr">
        <is>
          <t>short</t>
        </is>
      </c>
      <c r="E15" s="24" t="n">
        <v>-6843</v>
      </c>
      <c r="F15" s="11" t="n">
        <v>10.8</v>
      </c>
      <c r="G15" s="19" t="n">
        <v>-73904.39999999999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HST/MOS</t>
        </is>
      </c>
      <c r="C16" s="17" t="inlineStr">
        <is>
          <t>HST</t>
        </is>
      </c>
      <c r="D16" s="17" t="inlineStr">
        <is>
          <t>long</t>
        </is>
      </c>
      <c r="E16" s="26" t="n">
        <v>2247</v>
      </c>
      <c r="F16" s="15" t="n">
        <v>23.95</v>
      </c>
      <c r="G16" s="13" t="n">
        <v>53815.65</v>
      </c>
      <c r="H16" s="17" t="inlineStr">
        <is>
          <t>realestate</t>
        </is>
      </c>
      <c r="I16" s="17" t="n">
        <v>0</v>
      </c>
      <c r="J16" s="17" t="inlineStr">
        <is>
          <t>long_term_kalman</t>
        </is>
      </c>
    </row>
    <row r="17">
      <c r="A17" s="10" t="inlineStr">
        <is>
          <t>MTFS</t>
        </is>
      </c>
      <c r="B17" s="7" t="inlineStr">
        <is>
          <t>HST/MOS</t>
        </is>
      </c>
      <c r="C17" s="7" t="inlineStr">
        <is>
          <t>MOS</t>
        </is>
      </c>
      <c r="D17" s="7" t="inlineStr">
        <is>
          <t>short</t>
        </is>
      </c>
      <c r="E17" s="24" t="n">
        <v>-2168</v>
      </c>
      <c r="F17" s="11" t="n">
        <v>19.82</v>
      </c>
      <c r="G17" s="19" t="n">
        <v>-42969.76</v>
      </c>
      <c r="H17" s="7" t="inlineStr">
        <is>
          <t>food</t>
        </is>
      </c>
      <c r="I17" s="7" t="n">
        <v>0</v>
      </c>
      <c r="J17" s="7" t="inlineStr">
        <is>
          <t>long_term_kalman</t>
        </is>
      </c>
    </row>
    <row r="18">
      <c r="A18" s="12" t="inlineStr">
        <is>
          <t>MTFS</t>
        </is>
      </c>
      <c r="B18" s="17" t="inlineStr">
        <is>
          <t>KLAC/TRMB</t>
        </is>
      </c>
      <c r="C18" s="17" t="inlineStr">
        <is>
          <t>KLAC</t>
        </is>
      </c>
      <c r="D18" s="17" t="inlineStr">
        <is>
          <t>long</t>
        </is>
      </c>
      <c r="E18" s="26" t="n">
        <v>470</v>
      </c>
      <c r="F18" s="13" t="n">
        <v>213.56</v>
      </c>
      <c r="G18" s="13" t="n">
        <v>100375.08</v>
      </c>
      <c r="H18" s="17" t="inlineStr">
        <is>
          <t>tech</t>
        </is>
      </c>
      <c r="I18" s="17" t="n">
        <v>0</v>
      </c>
      <c r="J18" s="17" t="inlineStr">
        <is>
          <t>monthly_aligned_windows</t>
        </is>
      </c>
    </row>
    <row r="19">
      <c r="A19" s="10" t="inlineStr">
        <is>
          <t>MTFS</t>
        </is>
      </c>
      <c r="B19" s="7" t="inlineStr">
        <is>
          <t>KLAC/TRMB</t>
        </is>
      </c>
      <c r="C19" s="7" t="inlineStr">
        <is>
          <t>TRMB</t>
        </is>
      </c>
      <c r="D19" s="7" t="inlineStr">
        <is>
          <t>short</t>
        </is>
      </c>
      <c r="E19" s="24" t="n">
        <v>-972</v>
      </c>
      <c r="F19" s="11" t="n">
        <v>50.6</v>
      </c>
      <c r="G19" s="19" t="n">
        <v>-49183.2</v>
      </c>
      <c r="H19" s="7" t="inlineStr">
        <is>
          <t>industrial</t>
        </is>
      </c>
      <c r="I19" s="7" t="n">
        <v>0</v>
      </c>
      <c r="J19" s="7" t="inlineStr">
        <is>
          <t>monthly_aligned_windows</t>
        </is>
      </c>
    </row>
    <row r="20">
      <c r="A20" s="12" t="inlineStr">
        <is>
          <t>MTFS</t>
        </is>
      </c>
      <c r="B20" s="17" t="inlineStr">
        <is>
          <t>UNH/ULTA</t>
        </is>
      </c>
      <c r="C20" s="17" t="inlineStr">
        <is>
          <t>UNH</t>
        </is>
      </c>
      <c r="D20" s="17" t="inlineStr">
        <is>
          <t>long</t>
        </is>
      </c>
      <c r="E20" s="26" t="n">
        <v>124</v>
      </c>
      <c r="F20" s="13" t="n">
        <v>407.46</v>
      </c>
      <c r="G20" s="13" t="n">
        <v>50525.04</v>
      </c>
      <c r="H20" s="17" t="inlineStr">
        <is>
          <t>health</t>
        </is>
      </c>
      <c r="I20" s="17" t="n">
        <v>0</v>
      </c>
      <c r="J20" s="17" t="inlineStr">
        <is>
          <t>short_term_beta_neutral</t>
        </is>
      </c>
    </row>
    <row r="21">
      <c r="A21" s="10" t="inlineStr">
        <is>
          <t>MTFS</t>
        </is>
      </c>
      <c r="B21" s="7" t="inlineStr">
        <is>
          <t>UNH/ULTA</t>
        </is>
      </c>
      <c r="C21" s="7" t="inlineStr">
        <is>
          <t>ULTA</t>
        </is>
      </c>
      <c r="D21" s="7" t="inlineStr">
        <is>
          <t>short</t>
        </is>
      </c>
      <c r="E21" s="24" t="n">
        <v>-107</v>
      </c>
      <c r="F21" s="4" t="n">
        <v>470.75</v>
      </c>
      <c r="G21" s="19" t="n">
        <v>-50370.25</v>
      </c>
      <c r="H21" s="7" t="inlineStr">
        <is>
          <t>food</t>
        </is>
      </c>
      <c r="I21" s="7" t="n">
        <v>0</v>
      </c>
      <c r="J21" s="7" t="inlineStr">
        <is>
          <t>short_term_beta_neutral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8" t="n">
        <v>-1697.28</v>
      </c>
      <c r="D4" s="13" t="n">
        <v>172051.06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9083.059999999999</v>
      </c>
      <c r="D5" s="4" t="n">
        <v>156925.83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4040.63</v>
      </c>
      <c r="D6" s="13" t="n">
        <v>105717.25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NUE/MKTX</t>
        </is>
      </c>
      <c r="C7" s="4" t="n">
        <v>6039.67</v>
      </c>
      <c r="D7" s="4" t="n">
        <v>131409.63</v>
      </c>
      <c r="E7" s="7" t="n">
        <v>0</v>
      </c>
      <c r="F7" s="7" t="inlineStr">
        <is>
          <t>weekly_aligned_windows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STLD/UHS</t>
        </is>
      </c>
      <c r="C8" s="35" t="n">
        <v>-8.06</v>
      </c>
      <c r="D8" s="13" t="n">
        <v>155424.8</v>
      </c>
      <c r="E8" s="17" t="n">
        <v>1</v>
      </c>
      <c r="F8" s="17" t="inlineStr">
        <is>
          <t>no_reversal_protection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STLD/FMC</t>
        </is>
      </c>
      <c r="C9" s="4" t="n">
        <v>2768.82</v>
      </c>
      <c r="D9" s="4" t="n">
        <v>242421.92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HST/MOS</t>
        </is>
      </c>
      <c r="C10" s="13" t="n">
        <v>2281.05</v>
      </c>
      <c r="D10" s="13" t="n">
        <v>96785.41</v>
      </c>
      <c r="E10" s="17" t="n">
        <v>0</v>
      </c>
      <c r="F10" s="17" t="inlineStr">
        <is>
          <t>long_term_kalman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KLAC/TRMB</t>
        </is>
      </c>
      <c r="C11" s="4" t="n">
        <v>2108.89</v>
      </c>
      <c r="D11" s="4" t="n">
        <v>149558.28</v>
      </c>
      <c r="E11" s="7" t="n">
        <v>0</v>
      </c>
      <c r="F11" s="7" t="inlineStr">
        <is>
          <t>monthly_aligned_windows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UNH/ULTA</t>
        </is>
      </c>
      <c r="C12" s="15" t="n">
        <v>78.09</v>
      </c>
      <c r="D12" s="13" t="n">
        <v>100895.29</v>
      </c>
      <c r="E12" s="17" t="n">
        <v>0</v>
      </c>
      <c r="F12" s="17" t="inlineStr">
        <is>
          <t>short_term_beta_neutral</t>
        </is>
      </c>
      <c r="G1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2026-06-10</t>
        </is>
      </c>
      <c r="C4" s="7" t="inlineStr">
        <is>
          <t>2026-06-10</t>
        </is>
      </c>
    </row>
    <row r="5">
      <c r="A5" s="12" t="inlineStr">
        <is>
          <t>T_1D</t>
        </is>
      </c>
      <c r="B5" s="17" t="inlineStr">
        <is>
          <t>2026-06-09</t>
        </is>
      </c>
      <c r="C5" s="17" t="inlineStr">
        <is>
          <t>2026-06-09</t>
        </is>
      </c>
    </row>
    <row r="6">
      <c r="A6" s="10" t="inlineStr">
        <is>
          <t>T_1W</t>
        </is>
      </c>
      <c r="B6" s="7" t="inlineStr">
        <is>
          <t>2026-06-03</t>
        </is>
      </c>
      <c r="C6" s="7" t="inlineStr">
        <is>
          <t>2026-06-03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15.28</v>
      </c>
      <c r="C6" s="7" t="n">
        <v>0.51</v>
      </c>
      <c r="D6" s="7" t="n">
        <v>25</v>
      </c>
      <c r="E6" s="22" t="n">
        <v>-14.77</v>
      </c>
    </row>
    <row r="7">
      <c r="A7" s="12" t="inlineStr">
        <is>
          <t>MTFS</t>
        </is>
      </c>
      <c r="B7" s="17" t="n">
        <v>13.21</v>
      </c>
      <c r="C7" s="17" t="n">
        <v>23.6</v>
      </c>
      <c r="D7" s="17" t="n">
        <v>25</v>
      </c>
      <c r="E7" s="21" t="n">
        <v>10.39</v>
      </c>
    </row>
    <row r="8">
      <c r="A8" s="10" t="inlineStr">
        <is>
          <t>SSRS</t>
        </is>
      </c>
      <c r="B8" s="7" t="n">
        <v>25.76</v>
      </c>
      <c r="C8" s="7" t="n">
        <v>3.9</v>
      </c>
      <c r="D8" s="7" t="n">
        <v>25</v>
      </c>
      <c r="E8" s="22" t="n">
        <v>-21.86</v>
      </c>
    </row>
    <row r="9">
      <c r="A9" s="12" t="inlineStr">
        <is>
          <t>AISS</t>
        </is>
      </c>
      <c r="B9" s="17" t="n">
        <v>45.75</v>
      </c>
      <c r="C9" s="17" t="n">
        <v>71.98999999999999</v>
      </c>
      <c r="D9" s="17" t="n">
        <v>25</v>
      </c>
      <c r="E9" s="21" t="n">
        <v>26.24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STLD/FMC</t>
        </is>
      </c>
      <c r="B13" s="7" t="n">
        <v>26.79</v>
      </c>
    </row>
    <row r="14">
      <c r="A14" s="12" t="inlineStr">
        <is>
          <t>KLAC/REGN</t>
        </is>
      </c>
      <c r="B14" s="17" t="n">
        <v>23.44</v>
      </c>
    </row>
    <row r="15">
      <c r="A15" s="10" t="inlineStr">
        <is>
          <t>KLAC/TRMB</t>
        </is>
      </c>
      <c r="B15" s="7" t="n">
        <v>16.37</v>
      </c>
    </row>
    <row r="16">
      <c r="A16" s="12" t="inlineStr">
        <is>
          <t>STLD/UHS</t>
        </is>
      </c>
      <c r="B16" s="17" t="n">
        <v>10.98</v>
      </c>
    </row>
    <row r="17">
      <c r="A17" s="10" t="inlineStr">
        <is>
          <t>NUE/MKTX</t>
        </is>
      </c>
      <c r="B17" s="7" t="n">
        <v>8.15</v>
      </c>
    </row>
    <row r="18">
      <c r="A18" s="12" t="inlineStr">
        <is>
          <t>NUE/INTU</t>
        </is>
      </c>
      <c r="B18" s="17" t="n">
        <v>7.88</v>
      </c>
    </row>
    <row r="19">
      <c r="A19" s="10" t="inlineStr">
        <is>
          <t>HST/MOS</t>
        </is>
      </c>
      <c r="B19" s="7" t="n">
        <v>3.65</v>
      </c>
    </row>
    <row r="20">
      <c r="A20" s="12" t="inlineStr">
        <is>
          <t>HAS/PFE</t>
        </is>
      </c>
      <c r="B20" s="17" t="n">
        <v>1.44</v>
      </c>
    </row>
    <row r="21">
      <c r="A21" s="10" t="inlineStr">
        <is>
          <t>UNH/ULTA</t>
        </is>
      </c>
      <c r="B21" s="7" t="n">
        <v>1.3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0.178</v>
      </c>
      <c r="C4" s="7" t="n">
        <v>25.364</v>
      </c>
      <c r="D4" s="7" t="n">
        <v>0</v>
      </c>
      <c r="E4" s="7" t="b">
        <v>1</v>
      </c>
      <c r="F4" s="7" t="n">
        <v>2.236</v>
      </c>
      <c r="G4" s="7" t="n">
        <v>2.236</v>
      </c>
      <c r="H4" s="7" t="n">
        <v>0</v>
      </c>
    </row>
    <row r="5">
      <c r="A5" s="12" t="inlineStr">
        <is>
          <t>MRPT</t>
        </is>
      </c>
      <c r="B5" s="17" t="n">
        <v>-0.413</v>
      </c>
      <c r="C5" s="17" t="n">
        <v>2.496</v>
      </c>
      <c r="D5" s="17" t="n">
        <v>0</v>
      </c>
      <c r="E5" s="17" t="b">
        <v>1</v>
      </c>
      <c r="F5" s="17" t="n">
        <v>1.6</v>
      </c>
      <c r="G5" s="17" t="n">
        <v>1.665</v>
      </c>
      <c r="H5" s="17" t="n">
        <v>0.065</v>
      </c>
    </row>
    <row r="6">
      <c r="A6" s="10" t="inlineStr">
        <is>
          <t>MTFS</t>
        </is>
      </c>
      <c r="B6" s="7" t="n">
        <v>1.63</v>
      </c>
      <c r="C6" s="7" t="n">
        <v>29.941</v>
      </c>
      <c r="D6" s="7" t="n">
        <v>0</v>
      </c>
      <c r="E6" s="7" t="b">
        <v>1</v>
      </c>
      <c r="F6" s="7" t="n">
        <v>4.802</v>
      </c>
      <c r="G6" s="7" t="n">
        <v>4.802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1.111</v>
      </c>
      <c r="C9" s="7" t="n">
        <v>0.8018</v>
      </c>
      <c r="D9" s="7" t="n">
        <v>565</v>
      </c>
      <c r="E9" s="7" t="n">
        <v>8.859999999999999</v>
      </c>
      <c r="F9" s="7" t="n">
        <v>9.470000000000001</v>
      </c>
      <c r="G9" s="7" t="n">
        <v>76.3</v>
      </c>
      <c r="H9" s="7" t="n">
        <v>3.94</v>
      </c>
      <c r="I9" s="7" t="n">
        <v>1.97</v>
      </c>
      <c r="J9" s="7" t="n">
        <v>1.243</v>
      </c>
    </row>
    <row r="10">
      <c r="A10" s="12" t="inlineStr">
        <is>
          <t>MRPT</t>
        </is>
      </c>
      <c r="B10" s="17" t="n">
        <v>1.164</v>
      </c>
      <c r="C10" s="17" t="n">
        <v>0.8111</v>
      </c>
      <c r="D10" s="17" t="n">
        <v>523</v>
      </c>
      <c r="E10" s="17" t="n">
        <v>9.19</v>
      </c>
      <c r="F10" s="17" t="n">
        <v>9.57</v>
      </c>
      <c r="G10" s="17" t="n">
        <v>77</v>
      </c>
      <c r="H10" s="17" t="n">
        <v>5.29</v>
      </c>
      <c r="I10" s="17" t="n">
        <v>2.64</v>
      </c>
      <c r="J10" s="17" t="n">
        <v>0.304</v>
      </c>
    </row>
    <row r="11">
      <c r="A11" s="10" t="inlineStr">
        <is>
          <t>MTFS</t>
        </is>
      </c>
      <c r="B11" s="7" t="n">
        <v>0.829</v>
      </c>
      <c r="C11" s="7" t="n">
        <v>0.7456</v>
      </c>
      <c r="D11" s="7" t="n">
        <v>931</v>
      </c>
      <c r="E11" s="7" t="n">
        <v>15.56</v>
      </c>
      <c r="F11" s="7" t="n">
        <v>18.48</v>
      </c>
      <c r="G11" s="7" t="n">
        <v>79.59999999999999</v>
      </c>
      <c r="H11" s="7" t="n">
        <v>1.51</v>
      </c>
      <c r="I11" s="7" t="n">
        <v>0.76</v>
      </c>
      <c r="J11" s="7" t="n">
        <v>2.33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2026-06-25T05:49:33Z</dcterms:created>
  <dcterms:modified xmlns:dcterms="http://purl.org/dc/terms/" xmlns:xsi="http://www.w3.org/2001/XMLSchema-instance" xsi:type="dcterms:W3CDTF">2026-06-25T05:49:33Z</dcterms:modified>
</cp:coreProperties>
</file>