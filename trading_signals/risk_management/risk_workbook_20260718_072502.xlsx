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ummary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Income Statement" sheetId="3" state="visible" r:id="rId3"/>
    <sheet xmlns:r="http://schemas.openxmlformats.org/officeDocument/2006/relationships" name="Capital Statement" sheetId="4" state="visible" r:id="rId4"/>
    <sheet xmlns:r="http://schemas.openxmlformats.org/officeDocument/2006/relationships" name="Cash Flow" sheetId="5" state="visible" r:id="rId5"/>
    <sheet xmlns:r="http://schemas.openxmlformats.org/officeDocument/2006/relationships" name="NAV Trend" sheetId="6" state="visible" r:id="rId6"/>
    <sheet xmlns:r="http://schemas.openxmlformats.org/officeDocument/2006/relationships" name="Exposure &amp; Leverage" sheetId="7" state="visible" r:id="rId7"/>
    <sheet xmlns:r="http://schemas.openxmlformats.org/officeDocument/2006/relationships" name="Concentration" sheetId="8" state="visible" r:id="rId8"/>
    <sheet xmlns:r="http://schemas.openxmlformats.org/officeDocument/2006/relationships" name="Factor &amp; Beta" sheetId="9" state="visible" r:id="rId9"/>
    <sheet xmlns:r="http://schemas.openxmlformats.org/officeDocument/2006/relationships" name="VaR &amp; Volatility" sheetId="10" state="visible" r:id="rId10"/>
    <sheet xmlns:r="http://schemas.openxmlformats.org/officeDocument/2006/relationships" name="Liquidity" sheetId="11" state="visible" r:id="rId11"/>
    <sheet xmlns:r="http://schemas.openxmlformats.org/officeDocument/2006/relationships" name="Stress Scenarios" sheetId="12" state="visible" r:id="rId12"/>
    <sheet xmlns:r="http://schemas.openxmlformats.org/officeDocument/2006/relationships" name="Limit Monitor" sheetId="13" state="visible" r:id="rId13"/>
    <sheet xmlns:r="http://schemas.openxmlformats.org/officeDocument/2006/relationships" name="Position Detail" sheetId="14" state="visible" r:id="rId14"/>
    <sheet xmlns:r="http://schemas.openxmlformats.org/officeDocument/2006/relationships" name="Pair PnL Attribution" sheetId="15" state="visible" r:id="rId15"/>
    <sheet xmlns:r="http://schemas.openxmlformats.org/officeDocument/2006/relationships" name="Inventory Reconciliation" sheetId="16" state="visible" r:id="rId16"/>
    <sheet xmlns:r="http://schemas.openxmlformats.org/officeDocument/2006/relationships" name="Risk Contribution" sheetId="17" state="visible" r:id="rId17"/>
    <sheet xmlns:r="http://schemas.openxmlformats.org/officeDocument/2006/relationships" name="Factor Attribution" sheetId="18" state="visible" r:id="rId18"/>
    <sheet xmlns:r="http://schemas.openxmlformats.org/officeDocument/2006/relationships" name="Return Distribution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&quot;%&quot;"/>
  </numFmts>
  <fonts count="10">
    <font>
      <name val="Calibri"/>
      <family val="2"/>
      <color theme="1"/>
      <sz val="11"/>
      <scheme val="minor"/>
    </font>
    <font>
      <b val="1"/>
      <color rgb="FF1A1A2E"/>
      <sz val="13"/>
    </font>
    <font>
      <i val="1"/>
      <sz val="8"/>
    </font>
    <font>
      <b val="1"/>
      <sz val="9"/>
    </font>
    <font>
      <sz val="9"/>
    </font>
    <font>
      <color rgb="FF1A7A4A"/>
      <sz val="9"/>
    </font>
    <font>
      <b val="1"/>
      <color rgb="00D4A843"/>
      <sz val="10"/>
    </font>
    <font>
      <b val="1"/>
      <color rgb="FFFFFFFF"/>
      <sz val="9"/>
    </font>
    <font>
      <color rgb="FFC0392B"/>
      <sz val="9"/>
    </font>
    <font>
      <b val="1"/>
      <color rgb="00D4A843"/>
    </font>
  </fonts>
  <fills count="6">
    <fill>
      <patternFill/>
    </fill>
    <fill>
      <patternFill patternType="gray125"/>
    </fill>
    <fill>
      <patternFill patternType="solid">
        <fgColor rgb="FF1A1A2E"/>
      </patternFill>
    </fill>
    <fill>
      <patternFill patternType="solid">
        <fgColor rgb="FFF7F9FC"/>
      </patternFill>
    </fill>
    <fill>
      <patternFill patternType="solid">
        <fgColor rgb="FFE6F4EA"/>
      </patternFill>
    </fill>
    <fill>
      <patternFill patternType="solid">
        <fgColor rgb="FFFFF3CD"/>
      </patternFill>
    </fill>
  </fills>
  <borders count="2">
    <border>
      <left/>
      <right/>
      <top/>
      <bottom/>
      <diagonal/>
    </border>
    <border>
      <bottom style="medium">
        <color rgb="FFD4A843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vertical="center"/>
    </xf>
    <xf numFmtId="3" fontId="5" fillId="0" borderId="0" applyAlignment="1" pivotButton="0" quotePrefix="0" xfId="0">
      <alignment horizontal="right" vertical="center"/>
    </xf>
    <xf numFmtId="4" fontId="4" fillId="0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 vertical="center"/>
    </xf>
    <xf numFmtId="0" fontId="6" fillId="0" borderId="0" pivotButton="0" quotePrefix="0" xfId="0"/>
    <xf numFmtId="0" fontId="7" fillId="2" borderId="1" applyAlignment="1" pivotButton="0" quotePrefix="0" xfId="0">
      <alignment horizontal="center" wrapText="1"/>
    </xf>
    <xf numFmtId="0" fontId="4" fillId="0" borderId="0" applyAlignment="1" pivotButton="0" quotePrefix="0" xfId="0">
      <alignment horizontal="left" vertical="center"/>
    </xf>
    <xf numFmtId="4" fontId="5" fillId="0" borderId="0" applyAlignment="1" pivotButton="0" quotePrefix="0" xfId="0">
      <alignment horizontal="right" vertical="center"/>
    </xf>
    <xf numFmtId="0" fontId="4" fillId="3" borderId="0" applyAlignment="1" pivotButton="0" quotePrefix="0" xfId="0">
      <alignment horizontal="left" vertical="center"/>
    </xf>
    <xf numFmtId="3" fontId="5" fillId="3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left" vertical="center"/>
    </xf>
    <xf numFmtId="4" fontId="5" fillId="3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right" vertical="center"/>
    </xf>
    <xf numFmtId="3" fontId="8" fillId="0" borderId="0" applyAlignment="1" pivotButton="0" quotePrefix="0" xfId="0">
      <alignment horizontal="right" vertical="center"/>
    </xf>
    <xf numFmtId="3" fontId="8" fillId="3" borderId="0" applyAlignment="1" pivotButton="0" quotePrefix="0" xfId="0">
      <alignment horizontal="right" vertical="center"/>
    </xf>
    <xf numFmtId="165" fontId="5" fillId="3" borderId="0" applyAlignment="1" pivotButton="0" quotePrefix="0" xfId="0">
      <alignment horizontal="right" vertical="center"/>
    </xf>
    <xf numFmtId="165" fontId="8" fillId="3" borderId="0" applyAlignment="1" pivotButton="0" quotePrefix="0" xfId="0">
      <alignment horizontal="right" vertical="center"/>
    </xf>
    <xf numFmtId="165" fontId="5" fillId="0" borderId="0" applyAlignment="1" pivotButton="0" quotePrefix="0" xfId="0">
      <alignment horizontal="right" vertical="center"/>
    </xf>
    <xf numFmtId="165" fontId="8" fillId="0" borderId="0" applyAlignment="1" pivotButton="0" quotePrefix="0" xfId="0">
      <alignment horizontal="right" vertical="center"/>
    </xf>
    <xf numFmtId="3" fontId="4" fillId="0" borderId="0" applyAlignment="1" pivotButton="0" quotePrefix="0" xfId="0">
      <alignment horizontal="right" vertical="center"/>
    </xf>
    <xf numFmtId="4" fontId="4" fillId="3" borderId="0" applyAlignment="1" pivotButton="0" quotePrefix="0" xfId="0">
      <alignment horizontal="right" vertical="center"/>
    </xf>
    <xf numFmtId="3" fontId="4" fillId="3" borderId="0" applyAlignment="1" pivotButton="0" quotePrefix="0" xfId="0">
      <alignment horizontal="right" vertical="center"/>
    </xf>
    <xf numFmtId="0" fontId="3" fillId="0" borderId="0" pivotButton="0" quotePrefix="0" xfId="0"/>
    <xf numFmtId="0" fontId="9" fillId="0" borderId="0" pivotButton="0" quotePrefix="0" xfId="0"/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right" vertical="center"/>
    </xf>
    <xf numFmtId="0" fontId="4" fillId="5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Combined NAV</a:t>
            </a:r>
          </a:p>
        </rich>
      </tx>
    </title>
    <plotArea>
      <lineChart>
        <grouping val="standard"/>
        <ser>
          <idx val="0"/>
          <order val="0"/>
          <tx>
            <strRef>
              <f>'NAV Trend'!B3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'NAV Trend'!$A$4:$A$182</f>
            </numRef>
          </cat>
          <val>
            <numRef>
              <f>'NAV Trend'!$B$4:$B$182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72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</cols>
  <sheetData>
    <row r="1">
      <c r="A1" s="1" t="inlineStr">
        <is>
          <t>SOMEO PARK — 组合风险管理报告 / Risk Management Report</t>
        </is>
      </c>
    </row>
    <row r="2">
      <c r="A2" s="2" t="inlineStr">
        <is>
          <t>Signal date 2026-07-17  ·  Generated 2026-07-18T07:26:34  ·  Scope: MRPT+MTFS pairs book (model-based, broker-reconciled)</t>
        </is>
      </c>
    </row>
    <row r="4">
      <c r="A4" s="3" t="inlineStr">
        <is>
          <t>NAV (equity)</t>
        </is>
      </c>
      <c r="B4" s="4" t="n">
        <v>1029219.45</v>
      </c>
    </row>
    <row r="5">
      <c r="A5" s="3" t="inlineStr">
        <is>
          <t>Gross leverage (x)</t>
        </is>
      </c>
      <c r="B5" s="5" t="n">
        <v>1.805</v>
      </c>
    </row>
    <row r="6">
      <c r="A6" s="3" t="inlineStr">
        <is>
          <t>Net leverage (x)</t>
        </is>
      </c>
      <c r="B6" s="6" t="n">
        <v>0.367</v>
      </c>
    </row>
    <row r="7">
      <c r="A7" s="3" t="inlineStr">
        <is>
          <t>Net market beta (target≈0)</t>
        </is>
      </c>
      <c r="B7" s="6" t="n">
        <v>0.61</v>
      </c>
    </row>
    <row r="8">
      <c r="A8" s="3" t="inlineStr">
        <is>
          <t>VaR 95% 1-day ($)</t>
        </is>
      </c>
      <c r="B8" s="4" t="n">
        <v>22242.33</v>
      </c>
    </row>
    <row r="9">
      <c r="A9" s="3" t="inlineStr">
        <is>
          <t>VaR 95% 1-day (% NAV)</t>
        </is>
      </c>
      <c r="B9" s="5" t="n">
        <v>2.16</v>
      </c>
    </row>
    <row r="10">
      <c r="A10" s="3" t="inlineStr">
        <is>
          <t>Annual vol (% NAV)</t>
        </is>
      </c>
      <c r="B10" s="5" t="n">
        <v>20.85</v>
      </c>
    </row>
    <row r="11">
      <c r="A11" s="3" t="inlineStr">
        <is>
          <t>Sharpe (annual)</t>
        </is>
      </c>
      <c r="B11" s="6" t="n">
        <v>0.698</v>
      </c>
    </row>
    <row r="12">
      <c r="A12" s="3" t="inlineStr">
        <is>
          <t>PSR( SR&gt;0 )</t>
        </is>
      </c>
      <c r="B12" s="6" t="n">
        <v>0.7204</v>
      </c>
    </row>
    <row r="13">
      <c r="A13" s="3" t="inlineStr">
        <is>
          <t>CDaR 95% (%)</t>
        </is>
      </c>
      <c r="B13" s="5" t="n">
        <v>13.87</v>
      </c>
    </row>
    <row r="14">
      <c r="A14" s="3" t="inlineStr">
        <is>
          <t>Kelly full / half (x)</t>
        </is>
      </c>
      <c r="B14" s="7" t="inlineStr">
        <is>
          <t>1.85 / 0.93</t>
        </is>
      </c>
    </row>
    <row r="15">
      <c r="A15" s="3" t="inlineStr">
        <is>
          <t>Actual gross leverage (x)</t>
        </is>
      </c>
      <c r="B15" s="5" t="n">
        <v>1.805</v>
      </c>
    </row>
    <row r="16">
      <c r="A16" s="3" t="inlineStr">
        <is>
          <t>Max single-name</t>
        </is>
      </c>
      <c r="B16" s="7" t="inlineStr">
        <is>
          <t>JBHT (34.94% NAV)</t>
        </is>
      </c>
    </row>
    <row r="17">
      <c r="A17" s="3" t="inlineStr">
        <is>
          <t>Max sector net (% gross)</t>
        </is>
      </c>
      <c r="B17" s="5" t="n">
        <v>16.11</v>
      </c>
    </row>
    <row r="18">
      <c r="A18" s="3" t="inlineStr">
        <is>
          <t>Open pairs</t>
        </is>
      </c>
      <c r="B18" s="5" t="n">
        <v>10</v>
      </c>
    </row>
    <row r="19">
      <c r="A19" s="3" t="inlineStr">
        <is>
          <t>Limit breaches</t>
        </is>
      </c>
      <c r="B19" s="5" t="n">
        <v>2</v>
      </c>
    </row>
    <row r="20">
      <c r="A20" s="3" t="inlineStr">
        <is>
          <t>Worst breach</t>
        </is>
      </c>
      <c r="B20" s="7" t="inlineStr">
        <is>
          <t>single_name_gross:JBHT amber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BALANCE SHEET + LONG/SHORT BOOK — 资产负债表 + 双账户法</t>
        </is>
      </c>
    </row>
    <row r="3">
      <c r="A3" s="8" t="inlineStr">
        <is>
          <t>COMBINED — 资产负债表法</t>
        </is>
      </c>
    </row>
    <row r="4">
      <c r="A4" s="9" t="inlineStr">
        <is>
          <t>Line item</t>
        </is>
      </c>
      <c r="B4" s="9" t="inlineStr">
        <is>
          <t>T (今日)</t>
        </is>
      </c>
      <c r="C4" s="9" t="inlineStr">
        <is>
          <t>T-1D (前日)</t>
        </is>
      </c>
      <c r="D4" s="9" t="inlineStr">
        <is>
          <t>T-1W (上周)</t>
        </is>
      </c>
      <c r="E4" s="9" t="inlineStr">
        <is>
          <t>T-1M (上月)</t>
        </is>
      </c>
    </row>
    <row r="5">
      <c r="A5" s="10" t="inlineStr">
        <is>
          <t>Free Cash 自由现金</t>
        </is>
      </c>
      <c r="B5" s="11" t="n">
        <v>0</v>
      </c>
      <c r="C5" s="4" t="n">
        <v>618810.02</v>
      </c>
      <c r="D5" s="4" t="n">
        <v>87238.14999999999</v>
      </c>
      <c r="E5" s="4" t="n">
        <v>424076.39</v>
      </c>
    </row>
    <row r="6">
      <c r="A6" s="12" t="inlineStr">
        <is>
          <t>Restricted Cash 受限现金 (PB 102%)</t>
        </is>
      </c>
      <c r="B6" s="13" t="n">
        <v>755007.17</v>
      </c>
      <c r="C6" s="13" t="n">
        <v>408103.21</v>
      </c>
      <c r="D6" s="13" t="n">
        <v>311853.06</v>
      </c>
      <c r="E6" s="13" t="n">
        <v>316271.32</v>
      </c>
    </row>
    <row r="7">
      <c r="A7" s="10" t="inlineStr">
        <is>
          <t>Long Securities 多头证券</t>
        </is>
      </c>
      <c r="B7" s="4" t="n">
        <v>1117704.42</v>
      </c>
      <c r="C7" s="4" t="n">
        <v>401777.79</v>
      </c>
      <c r="D7" s="4" t="n">
        <v>942980.8</v>
      </c>
      <c r="E7" s="4" t="n">
        <v>709441.87</v>
      </c>
    </row>
    <row r="8">
      <c r="A8" s="14" t="inlineStr">
        <is>
          <t>Total Assets 总资产</t>
        </is>
      </c>
      <c r="B8" s="13" t="n">
        <v>1872711.59</v>
      </c>
      <c r="C8" s="13" t="n">
        <v>1428691.02</v>
      </c>
      <c r="D8" s="13" t="n">
        <v>1342072.01</v>
      </c>
      <c r="E8" s="13" t="n">
        <v>1449789.58</v>
      </c>
    </row>
    <row r="9">
      <c r="A9" s="10" t="inlineStr">
        <is>
          <t>Short Securities 空头证券 (义务)</t>
        </is>
      </c>
      <c r="B9" s="4" t="n">
        <v>740203.11</v>
      </c>
      <c r="C9" s="4" t="n">
        <v>400101.19</v>
      </c>
      <c r="D9" s="4" t="n">
        <v>305738.29</v>
      </c>
      <c r="E9" s="4" t="n">
        <v>310069.92</v>
      </c>
    </row>
    <row r="10">
      <c r="A10" s="12" t="inlineStr">
        <is>
          <t>Margin Loan 保证金借款</t>
        </is>
      </c>
      <c r="B10" s="13" t="n">
        <v>103289.03</v>
      </c>
      <c r="C10" s="15" t="n">
        <v>0</v>
      </c>
      <c r="D10" s="15" t="n">
        <v>0</v>
      </c>
      <c r="E10" s="15" t="n">
        <v>0</v>
      </c>
    </row>
    <row r="11">
      <c r="A11" s="16" t="inlineStr">
        <is>
          <t>Total Liabilities 总负债</t>
        </is>
      </c>
      <c r="B11" s="4" t="n">
        <v>843492.14</v>
      </c>
      <c r="C11" s="4" t="n">
        <v>400101.19</v>
      </c>
      <c r="D11" s="4" t="n">
        <v>305738.29</v>
      </c>
      <c r="E11" s="4" t="n">
        <v>310069.92</v>
      </c>
    </row>
    <row r="12">
      <c r="A12" s="14" t="inlineStr">
        <is>
          <t>NAV (Equity) 净值 = TA - TL</t>
        </is>
      </c>
      <c r="B12" s="13" t="n">
        <v>1029219.45</v>
      </c>
      <c r="C12" s="13" t="n">
        <v>1028589.83</v>
      </c>
      <c r="D12" s="13" t="n">
        <v>1036333.72</v>
      </c>
      <c r="E12" s="13" t="n">
        <v>1139719.66</v>
      </c>
    </row>
    <row r="13">
      <c r="A13" s="10" t="inlineStr">
        <is>
          <t>Gross Leverage 总杠杆 (x)</t>
        </is>
      </c>
      <c r="B13" s="7" t="n">
        <v>1.805</v>
      </c>
      <c r="C13" s="7" t="n">
        <v>0.78</v>
      </c>
      <c r="D13" s="7" t="n">
        <v>1.205</v>
      </c>
      <c r="E13" s="7" t="n">
        <v>0.895</v>
      </c>
    </row>
    <row r="14">
      <c r="A14" s="12" t="inlineStr">
        <is>
          <t>Net Leverage 净杠杆 (x)</t>
        </is>
      </c>
      <c r="B14" s="17" t="n">
        <v>0.367</v>
      </c>
      <c r="C14" s="17" t="n">
        <v>0.002</v>
      </c>
      <c r="D14" s="17" t="n">
        <v>0.615</v>
      </c>
      <c r="E14" s="17" t="n">
        <v>0.35</v>
      </c>
    </row>
    <row r="15">
      <c r="A15" s="10" t="inlineStr">
        <is>
          <t>PM Requirement (20%)</t>
        </is>
      </c>
      <c r="B15" s="4" t="n">
        <v>371581.51</v>
      </c>
      <c r="C15" s="4" t="n">
        <v>160375.8</v>
      </c>
      <c r="D15" s="4" t="n">
        <v>249743.82</v>
      </c>
      <c r="E15" s="4" t="n">
        <v>203902.36</v>
      </c>
    </row>
    <row r="16">
      <c r="A16" s="12" t="inlineStr">
        <is>
          <t>Excess Liquidity 超额流动性</t>
        </is>
      </c>
      <c r="B16" s="13" t="n">
        <v>657637.9399999999</v>
      </c>
      <c r="C16" s="13" t="n">
        <v>868214.03</v>
      </c>
      <c r="D16" s="13" t="n">
        <v>786589.9</v>
      </c>
      <c r="E16" s="13" t="n">
        <v>935817.3</v>
      </c>
    </row>
    <row r="17">
      <c r="A17" s="10" t="inlineStr">
        <is>
          <t>Balance Check (≈0)</t>
        </is>
      </c>
      <c r="B17" s="7" t="n">
        <v>-0</v>
      </c>
      <c r="C17" s="7" t="n">
        <v>0</v>
      </c>
      <c r="D17" s="7" t="n">
        <v>0</v>
      </c>
      <c r="E17" s="7" t="n">
        <v>0</v>
      </c>
    </row>
    <row r="19">
      <c r="A19" s="8" t="inlineStr">
        <is>
          <t>COMBINED — 双账户法</t>
        </is>
      </c>
    </row>
    <row r="20">
      <c r="A20" s="9" t="inlineStr">
        <is>
          <t>Line item</t>
        </is>
      </c>
      <c r="B20" s="9" t="inlineStr">
        <is>
          <t>T (今日)</t>
        </is>
      </c>
      <c r="C20" s="9" t="inlineStr">
        <is>
          <t>T-1D (前日)</t>
        </is>
      </c>
      <c r="D20" s="9" t="inlineStr">
        <is>
          <t>T-1W (上周)</t>
        </is>
      </c>
      <c r="E20" s="9" t="inlineStr">
        <is>
          <t>T-1M (上月)</t>
        </is>
      </c>
    </row>
    <row r="21">
      <c r="A21" s="10" t="inlineStr">
        <is>
          <t>Long Book — Allocated Capital 分配资本</t>
        </is>
      </c>
      <c r="B21" s="4" t="n">
        <v>1029219.45</v>
      </c>
      <c r="C21" s="4" t="n">
        <v>401777.79</v>
      </c>
      <c r="D21" s="4" t="n">
        <v>942980.8</v>
      </c>
      <c r="E21" s="4" t="n">
        <v>709441.87</v>
      </c>
    </row>
    <row r="22">
      <c r="A22" s="12" t="inlineStr">
        <is>
          <t>Long Book — Cash 现金</t>
        </is>
      </c>
      <c r="B22" s="15" t="n">
        <v>0</v>
      </c>
      <c r="C22" s="15" t="n">
        <v>0</v>
      </c>
      <c r="D22" s="15" t="n">
        <v>0</v>
      </c>
      <c r="E22" s="15" t="n">
        <v>0</v>
      </c>
    </row>
    <row r="23">
      <c r="A23" s="10" t="inlineStr">
        <is>
          <t>Long Book — Market Value 市值</t>
        </is>
      </c>
      <c r="B23" s="4" t="n">
        <v>1117704.42</v>
      </c>
      <c r="C23" s="4" t="n">
        <v>401777.79</v>
      </c>
      <c r="D23" s="4" t="n">
        <v>942980.8</v>
      </c>
      <c r="E23" s="4" t="n">
        <v>709441.87</v>
      </c>
    </row>
    <row r="24">
      <c r="A24" s="12" t="inlineStr">
        <is>
          <t>Long Book — Margin Loan 融资</t>
        </is>
      </c>
      <c r="B24" s="13" t="n">
        <v>88484.97</v>
      </c>
      <c r="C24" s="15" t="n">
        <v>0</v>
      </c>
      <c r="D24" s="15" t="n">
        <v>0</v>
      </c>
      <c r="E24" s="15" t="n">
        <v>0</v>
      </c>
    </row>
    <row r="25">
      <c r="A25" s="16" t="inlineStr">
        <is>
          <t>Long Book — NAV</t>
        </is>
      </c>
      <c r="B25" s="4" t="n">
        <v>1029219.45</v>
      </c>
      <c r="C25" s="4" t="n">
        <v>401777.79</v>
      </c>
      <c r="D25" s="4" t="n">
        <v>942980.8</v>
      </c>
      <c r="E25" s="4" t="n">
        <v>709441.87</v>
      </c>
    </row>
    <row r="26">
      <c r="A26" s="12" t="inlineStr">
        <is>
          <t>Short Book — Allocated Capital 分配资本</t>
        </is>
      </c>
      <c r="B26" s="15" t="n">
        <v>0</v>
      </c>
      <c r="C26" s="13" t="n">
        <v>8002.02</v>
      </c>
      <c r="D26" s="13" t="n">
        <v>6114.77</v>
      </c>
      <c r="E26" s="13" t="n">
        <v>6201.4</v>
      </c>
    </row>
    <row r="27">
      <c r="A27" s="10" t="inlineStr">
        <is>
          <t>Short Book — Collateral 担保金</t>
        </is>
      </c>
      <c r="B27" s="11" t="n">
        <v>0</v>
      </c>
      <c r="C27" s="4" t="n">
        <v>8002.02</v>
      </c>
      <c r="D27" s="4" t="n">
        <v>6114.77</v>
      </c>
      <c r="E27" s="4" t="n">
        <v>6201.4</v>
      </c>
    </row>
    <row r="28">
      <c r="A28" s="12" t="inlineStr">
        <is>
          <t>Short Book — Short Proceeds 做空收入</t>
        </is>
      </c>
      <c r="B28" s="13" t="n">
        <v>740203.11</v>
      </c>
      <c r="C28" s="13" t="n">
        <v>400101.19</v>
      </c>
      <c r="D28" s="13" t="n">
        <v>305738.29</v>
      </c>
      <c r="E28" s="13" t="n">
        <v>310069.92</v>
      </c>
    </row>
    <row r="29">
      <c r="A29" s="10" t="inlineStr">
        <is>
          <t>Short Book — Market Value 市值(负债)</t>
        </is>
      </c>
      <c r="B29" s="4" t="n">
        <v>740203.11</v>
      </c>
      <c r="C29" s="4" t="n">
        <v>400101.19</v>
      </c>
      <c r="D29" s="4" t="n">
        <v>305738.29</v>
      </c>
      <c r="E29" s="4" t="n">
        <v>310069.92</v>
      </c>
    </row>
    <row r="30">
      <c r="A30" s="12" t="inlineStr">
        <is>
          <t>Short Book — Margin Loan 融资(2%)</t>
        </is>
      </c>
      <c r="B30" s="13" t="n">
        <v>14804.06</v>
      </c>
      <c r="C30" s="15" t="n">
        <v>0</v>
      </c>
      <c r="D30" s="15" t="n">
        <v>0</v>
      </c>
      <c r="E30" s="15" t="n">
        <v>0</v>
      </c>
    </row>
    <row r="31">
      <c r="A31" s="16" t="inlineStr">
        <is>
          <t>Short Book — NAV</t>
        </is>
      </c>
      <c r="B31" s="11" t="n">
        <v>0</v>
      </c>
      <c r="C31" s="4" t="n">
        <v>8002.02</v>
      </c>
      <c r="D31" s="4" t="n">
        <v>6114.77</v>
      </c>
      <c r="E31" s="4" t="n">
        <v>6201.4</v>
      </c>
    </row>
    <row r="32">
      <c r="A32" s="12" t="inlineStr">
        <is>
          <t>Unallocated Cash 未分配现金</t>
        </is>
      </c>
      <c r="B32" s="15" t="n">
        <v>0</v>
      </c>
      <c r="C32" s="13" t="n">
        <v>618810.02</v>
      </c>
      <c r="D32" s="13" t="n">
        <v>87238.14999999999</v>
      </c>
      <c r="E32" s="13" t="n">
        <v>424076.39</v>
      </c>
    </row>
    <row r="33">
      <c r="A33" s="16" t="inlineStr">
        <is>
          <t>Dual-View NAV 双账户法NAV</t>
        </is>
      </c>
      <c r="B33" s="4" t="n">
        <v>1029219.45</v>
      </c>
      <c r="C33" s="4" t="n">
        <v>1028589.83</v>
      </c>
      <c r="D33" s="4" t="n">
        <v>1036333.72</v>
      </c>
      <c r="E33" s="4" t="n">
        <v>1139719.66</v>
      </c>
    </row>
    <row r="34">
      <c r="A34" s="12" t="inlineStr">
        <is>
          <t>NAV Alignment Check (≈0)</t>
        </is>
      </c>
      <c r="B34" s="17" t="n">
        <v>0</v>
      </c>
      <c r="C34" s="17" t="n">
        <v>0</v>
      </c>
      <c r="D34" s="17" t="n">
        <v>0</v>
      </c>
      <c r="E34" s="17" t="n">
        <v>0</v>
      </c>
    </row>
    <row r="37">
      <c r="A37" s="8" t="inlineStr">
        <is>
          <t>MRPT — 资产负债表法</t>
        </is>
      </c>
    </row>
    <row r="38">
      <c r="A38" s="9" t="inlineStr">
        <is>
          <t>Line item</t>
        </is>
      </c>
      <c r="B38" s="9" t="inlineStr">
        <is>
          <t>T (今日)</t>
        </is>
      </c>
      <c r="C38" s="9" t="inlineStr">
        <is>
          <t>T-1D (前日)</t>
        </is>
      </c>
      <c r="D38" s="9" t="inlineStr">
        <is>
          <t>T-1W (上周)</t>
        </is>
      </c>
      <c r="E38" s="9" t="inlineStr">
        <is>
          <t>T-1M (上月)</t>
        </is>
      </c>
    </row>
    <row r="39">
      <c r="A39" s="10" t="inlineStr">
        <is>
          <t>Free Cash 自由现金</t>
        </is>
      </c>
      <c r="B39" s="4" t="n">
        <v>358016.21</v>
      </c>
      <c r="C39" s="4" t="n">
        <v>458686.95</v>
      </c>
      <c r="D39" s="4" t="n">
        <v>449872.26</v>
      </c>
      <c r="E39" s="4" t="n">
        <v>505342.96</v>
      </c>
    </row>
    <row r="40">
      <c r="A40" s="12" t="inlineStr">
        <is>
          <t>Restricted Cash 受限现金 (PB 102%)</t>
        </is>
      </c>
      <c r="B40" s="13" t="n">
        <v>224176.91</v>
      </c>
      <c r="C40" s="13" t="n">
        <v>128124.32</v>
      </c>
      <c r="D40" s="13" t="n">
        <v>132012.44</v>
      </c>
      <c r="E40" s="13" t="n">
        <v>74549.07000000001</v>
      </c>
    </row>
    <row r="41">
      <c r="A41" s="10" t="inlineStr">
        <is>
          <t>Long Securities 多头证券</t>
        </is>
      </c>
      <c r="B41" s="4" t="n">
        <v>217376.16</v>
      </c>
      <c r="C41" s="4" t="n">
        <v>127233.68</v>
      </c>
      <c r="D41" s="4" t="n">
        <v>124979.54</v>
      </c>
      <c r="E41" s="4" t="n">
        <v>75558</v>
      </c>
    </row>
    <row r="42">
      <c r="A42" s="14" t="inlineStr">
        <is>
          <t>Total Assets 总资产</t>
        </is>
      </c>
      <c r="B42" s="13" t="n">
        <v>799569.28</v>
      </c>
      <c r="C42" s="13" t="n">
        <v>714044.95</v>
      </c>
      <c r="D42" s="13" t="n">
        <v>706864.24</v>
      </c>
      <c r="E42" s="13" t="n">
        <v>655450.03</v>
      </c>
    </row>
    <row r="43">
      <c r="A43" s="10" t="inlineStr">
        <is>
          <t>Short Securities 空头证券 (义务)</t>
        </is>
      </c>
      <c r="B43" s="4" t="n">
        <v>219781.28</v>
      </c>
      <c r="C43" s="4" t="n">
        <v>125612.08</v>
      </c>
      <c r="D43" s="4" t="n">
        <v>129423.96</v>
      </c>
      <c r="E43" s="4" t="n">
        <v>73087.32000000001</v>
      </c>
    </row>
    <row r="44">
      <c r="A44" s="12" t="inlineStr">
        <is>
          <t>Margin Loan 保证金借款</t>
        </is>
      </c>
      <c r="B44" s="15" t="n">
        <v>0</v>
      </c>
      <c r="C44" s="15" t="n">
        <v>0</v>
      </c>
      <c r="D44" s="15" t="n">
        <v>0</v>
      </c>
      <c r="E44" s="15" t="n">
        <v>0</v>
      </c>
    </row>
    <row r="45">
      <c r="A45" s="16" t="inlineStr">
        <is>
          <t>Total Liabilities 总负债</t>
        </is>
      </c>
      <c r="B45" s="4" t="n">
        <v>219781.28</v>
      </c>
      <c r="C45" s="4" t="n">
        <v>125612.08</v>
      </c>
      <c r="D45" s="4" t="n">
        <v>129423.96</v>
      </c>
      <c r="E45" s="4" t="n">
        <v>73087.32000000001</v>
      </c>
    </row>
    <row r="46">
      <c r="A46" s="14" t="inlineStr">
        <is>
          <t>NAV (Equity) 净值 = TA - TL</t>
        </is>
      </c>
      <c r="B46" s="13" t="n">
        <v>579788</v>
      </c>
      <c r="C46" s="13" t="n">
        <v>588432.87</v>
      </c>
      <c r="D46" s="13" t="n">
        <v>577440.28</v>
      </c>
      <c r="E46" s="13" t="n">
        <v>582362.71</v>
      </c>
    </row>
    <row r="47">
      <c r="A47" s="10" t="inlineStr">
        <is>
          <t>Gross Leverage 总杠杆 (x)</t>
        </is>
      </c>
      <c r="B47" s="7" t="n">
        <v>0.754</v>
      </c>
      <c r="C47" s="7" t="n">
        <v>0.43</v>
      </c>
      <c r="D47" s="7" t="n">
        <v>0.441</v>
      </c>
      <c r="E47" s="7" t="n">
        <v>0.255</v>
      </c>
    </row>
    <row r="48">
      <c r="A48" s="12" t="inlineStr">
        <is>
          <t>Net Leverage 净杠杆 (x)</t>
        </is>
      </c>
      <c r="B48" s="17" t="n">
        <v>-0.004</v>
      </c>
      <c r="C48" s="17" t="n">
        <v>0.003</v>
      </c>
      <c r="D48" s="17" t="n">
        <v>-0.008</v>
      </c>
      <c r="E48" s="17" t="n">
        <v>0.004</v>
      </c>
    </row>
    <row r="49">
      <c r="A49" s="10" t="inlineStr">
        <is>
          <t>PM Requirement (20%)</t>
        </is>
      </c>
      <c r="B49" s="4" t="n">
        <v>87431.49000000001</v>
      </c>
      <c r="C49" s="4" t="n">
        <v>50569.15</v>
      </c>
      <c r="D49" s="4" t="n">
        <v>50880.7</v>
      </c>
      <c r="E49" s="4" t="n">
        <v>29729.06</v>
      </c>
    </row>
    <row r="50">
      <c r="A50" s="12" t="inlineStr">
        <is>
          <t>Excess Liquidity 超额流动性</t>
        </is>
      </c>
      <c r="B50" s="13" t="n">
        <v>492356.51</v>
      </c>
      <c r="C50" s="13" t="n">
        <v>537863.72</v>
      </c>
      <c r="D50" s="13" t="n">
        <v>526559.58</v>
      </c>
      <c r="E50" s="13" t="n">
        <v>552633.65</v>
      </c>
    </row>
    <row r="51">
      <c r="A51" s="10" t="inlineStr">
        <is>
          <t>Balance Check (≈0)</t>
        </is>
      </c>
      <c r="B51" s="7" t="n">
        <v>-0</v>
      </c>
      <c r="C51" s="7" t="n">
        <v>0</v>
      </c>
      <c r="D51" s="7" t="n">
        <v>0</v>
      </c>
      <c r="E51" s="7" t="n">
        <v>0</v>
      </c>
    </row>
    <row r="53">
      <c r="A53" s="8" t="inlineStr">
        <is>
          <t>MRPT — 双账户法</t>
        </is>
      </c>
    </row>
    <row r="54">
      <c r="A54" s="9" t="inlineStr">
        <is>
          <t>Line item</t>
        </is>
      </c>
      <c r="B54" s="9" t="inlineStr">
        <is>
          <t>T (今日)</t>
        </is>
      </c>
      <c r="C54" s="9" t="inlineStr">
        <is>
          <t>T-1D (前日)</t>
        </is>
      </c>
      <c r="D54" s="9" t="inlineStr">
        <is>
          <t>T-1W (上周)</t>
        </is>
      </c>
      <c r="E54" s="9" t="inlineStr">
        <is>
          <t>T-1M (上月)</t>
        </is>
      </c>
    </row>
    <row r="55">
      <c r="A55" s="10" t="inlineStr">
        <is>
          <t>Long Book — Allocated Capital 分配资本</t>
        </is>
      </c>
      <c r="B55" s="4" t="n">
        <v>217376.16</v>
      </c>
      <c r="C55" s="4" t="n">
        <v>127233.68</v>
      </c>
      <c r="D55" s="4" t="n">
        <v>124979.54</v>
      </c>
      <c r="E55" s="4" t="n">
        <v>75558</v>
      </c>
    </row>
    <row r="56">
      <c r="A56" s="12" t="inlineStr">
        <is>
          <t>Long Book — Cash 现金</t>
        </is>
      </c>
      <c r="B56" s="15" t="n">
        <v>0</v>
      </c>
      <c r="C56" s="15" t="n">
        <v>0</v>
      </c>
      <c r="D56" s="15" t="n">
        <v>0</v>
      </c>
      <c r="E56" s="15" t="n">
        <v>0</v>
      </c>
    </row>
    <row r="57">
      <c r="A57" s="10" t="inlineStr">
        <is>
          <t>Long Book — Market Value 市值</t>
        </is>
      </c>
      <c r="B57" s="4" t="n">
        <v>217376.16</v>
      </c>
      <c r="C57" s="4" t="n">
        <v>127233.68</v>
      </c>
      <c r="D57" s="4" t="n">
        <v>124979.54</v>
      </c>
      <c r="E57" s="4" t="n">
        <v>75558</v>
      </c>
    </row>
    <row r="58">
      <c r="A58" s="12" t="inlineStr">
        <is>
          <t>Long Book — Margin Loan 融资</t>
        </is>
      </c>
      <c r="B58" s="15" t="n">
        <v>0</v>
      </c>
      <c r="C58" s="15" t="n">
        <v>0</v>
      </c>
      <c r="D58" s="15" t="n">
        <v>0</v>
      </c>
      <c r="E58" s="15" t="n">
        <v>0</v>
      </c>
    </row>
    <row r="59">
      <c r="A59" s="16" t="inlineStr">
        <is>
          <t>Long Book — NAV</t>
        </is>
      </c>
      <c r="B59" s="4" t="n">
        <v>217376.16</v>
      </c>
      <c r="C59" s="4" t="n">
        <v>127233.68</v>
      </c>
      <c r="D59" s="4" t="n">
        <v>124979.54</v>
      </c>
      <c r="E59" s="4" t="n">
        <v>75558</v>
      </c>
    </row>
    <row r="60">
      <c r="A60" s="12" t="inlineStr">
        <is>
          <t>Short Book — Allocated Capital 分配资本</t>
        </is>
      </c>
      <c r="B60" s="13" t="n">
        <v>4395.63</v>
      </c>
      <c r="C60" s="13" t="n">
        <v>2512.24</v>
      </c>
      <c r="D60" s="13" t="n">
        <v>2588.48</v>
      </c>
      <c r="E60" s="13" t="n">
        <v>1461.75</v>
      </c>
    </row>
    <row r="61">
      <c r="A61" s="10" t="inlineStr">
        <is>
          <t>Short Book — Collateral 担保金</t>
        </is>
      </c>
      <c r="B61" s="4" t="n">
        <v>4395.63</v>
      </c>
      <c r="C61" s="4" t="n">
        <v>2512.24</v>
      </c>
      <c r="D61" s="4" t="n">
        <v>2588.48</v>
      </c>
      <c r="E61" s="4" t="n">
        <v>1461.75</v>
      </c>
    </row>
    <row r="62">
      <c r="A62" s="12" t="inlineStr">
        <is>
          <t>Short Book — Short Proceeds 做空收入</t>
        </is>
      </c>
      <c r="B62" s="13" t="n">
        <v>219781.28</v>
      </c>
      <c r="C62" s="13" t="n">
        <v>125612.08</v>
      </c>
      <c r="D62" s="13" t="n">
        <v>129423.96</v>
      </c>
      <c r="E62" s="13" t="n">
        <v>73087.32000000001</v>
      </c>
    </row>
    <row r="63">
      <c r="A63" s="10" t="inlineStr">
        <is>
          <t>Short Book — Market Value 市值(负债)</t>
        </is>
      </c>
      <c r="B63" s="4" t="n">
        <v>219781.28</v>
      </c>
      <c r="C63" s="4" t="n">
        <v>125612.08</v>
      </c>
      <c r="D63" s="4" t="n">
        <v>129423.96</v>
      </c>
      <c r="E63" s="4" t="n">
        <v>73087.32000000001</v>
      </c>
    </row>
    <row r="64">
      <c r="A64" s="12" t="inlineStr">
        <is>
          <t>Short Book — Margin Loan 融资(2%)</t>
        </is>
      </c>
      <c r="B64" s="15" t="n">
        <v>0</v>
      </c>
      <c r="C64" s="15" t="n">
        <v>0</v>
      </c>
      <c r="D64" s="15" t="n">
        <v>0</v>
      </c>
      <c r="E64" s="15" t="n">
        <v>0</v>
      </c>
    </row>
    <row r="65">
      <c r="A65" s="16" t="inlineStr">
        <is>
          <t>Short Book — NAV</t>
        </is>
      </c>
      <c r="B65" s="4" t="n">
        <v>4395.63</v>
      </c>
      <c r="C65" s="4" t="n">
        <v>2512.24</v>
      </c>
      <c r="D65" s="4" t="n">
        <v>2588.48</v>
      </c>
      <c r="E65" s="4" t="n">
        <v>1461.75</v>
      </c>
    </row>
    <row r="66">
      <c r="A66" s="12" t="inlineStr">
        <is>
          <t>Unallocated Cash 未分配现金</t>
        </is>
      </c>
      <c r="B66" s="13" t="n">
        <v>358016.21</v>
      </c>
      <c r="C66" s="13" t="n">
        <v>458686.95</v>
      </c>
      <c r="D66" s="13" t="n">
        <v>449872.26</v>
      </c>
      <c r="E66" s="13" t="n">
        <v>505342.96</v>
      </c>
    </row>
    <row r="67">
      <c r="A67" s="16" t="inlineStr">
        <is>
          <t>Dual-View NAV 双账户法NAV</t>
        </is>
      </c>
      <c r="B67" s="4" t="n">
        <v>579788</v>
      </c>
      <c r="C67" s="4" t="n">
        <v>588432.87</v>
      </c>
      <c r="D67" s="4" t="n">
        <v>577440.28</v>
      </c>
      <c r="E67" s="4" t="n">
        <v>582362.71</v>
      </c>
    </row>
    <row r="68">
      <c r="A68" s="12" t="inlineStr">
        <is>
          <t>NAV Alignment Check (≈0)</t>
        </is>
      </c>
      <c r="B68" s="17" t="n">
        <v>0</v>
      </c>
      <c r="C68" s="17" t="n">
        <v>0</v>
      </c>
      <c r="D68" s="17" t="n">
        <v>0</v>
      </c>
      <c r="E68" s="17" t="n">
        <v>0</v>
      </c>
    </row>
    <row r="71">
      <c r="A71" s="8" t="inlineStr">
        <is>
          <t>MTFS — 资产负债表法</t>
        </is>
      </c>
    </row>
    <row r="72">
      <c r="A72" s="9" t="inlineStr">
        <is>
          <t>Line item</t>
        </is>
      </c>
      <c r="B72" s="9" t="inlineStr">
        <is>
          <t>T (今日)</t>
        </is>
      </c>
      <c r="C72" s="9" t="inlineStr">
        <is>
          <t>T-1D (前日)</t>
        </is>
      </c>
      <c r="D72" s="9" t="inlineStr">
        <is>
          <t>T-1W (上周)</t>
        </is>
      </c>
      <c r="E72" s="9" t="inlineStr">
        <is>
          <t>T-1M (上月)</t>
        </is>
      </c>
    </row>
    <row r="73">
      <c r="A73" s="10" t="inlineStr">
        <is>
          <t>Free Cash 自由现金</t>
        </is>
      </c>
      <c r="B73" s="11" t="n">
        <v>0</v>
      </c>
      <c r="C73" s="4" t="n">
        <v>160123.07</v>
      </c>
      <c r="D73" s="11" t="n">
        <v>0</v>
      </c>
      <c r="E73" s="11" t="n">
        <v>0</v>
      </c>
    </row>
    <row r="74">
      <c r="A74" s="12" t="inlineStr">
        <is>
          <t>Restricted Cash 受限现金 (PB 102%)</t>
        </is>
      </c>
      <c r="B74" s="13" t="n">
        <v>530830.27</v>
      </c>
      <c r="C74" s="13" t="n">
        <v>279978.89</v>
      </c>
      <c r="D74" s="13" t="n">
        <v>179840.62</v>
      </c>
      <c r="E74" s="13" t="n">
        <v>241722.25</v>
      </c>
    </row>
    <row r="75">
      <c r="A75" s="10" t="inlineStr">
        <is>
          <t>Long Securities 多头证券</t>
        </is>
      </c>
      <c r="B75" s="4" t="n">
        <v>900328.26</v>
      </c>
      <c r="C75" s="4" t="n">
        <v>274544.11</v>
      </c>
      <c r="D75" s="4" t="n">
        <v>818001.26</v>
      </c>
      <c r="E75" s="4" t="n">
        <v>633883.87</v>
      </c>
    </row>
    <row r="76">
      <c r="A76" s="14" t="inlineStr">
        <is>
          <t>Total Assets 总资产</t>
        </is>
      </c>
      <c r="B76" s="13" t="n">
        <v>1431158.53</v>
      </c>
      <c r="C76" s="13" t="n">
        <v>714646.0699999999</v>
      </c>
      <c r="D76" s="13" t="n">
        <v>997841.88</v>
      </c>
      <c r="E76" s="13" t="n">
        <v>875606.13</v>
      </c>
    </row>
    <row r="77">
      <c r="A77" s="10" t="inlineStr">
        <is>
          <t>Short Securities 空头证券 (义务)</t>
        </is>
      </c>
      <c r="B77" s="4" t="n">
        <v>520421.83</v>
      </c>
      <c r="C77" s="4" t="n">
        <v>274489.11</v>
      </c>
      <c r="D77" s="4" t="n">
        <v>176314.33</v>
      </c>
      <c r="E77" s="4" t="n">
        <v>236982.6</v>
      </c>
    </row>
    <row r="78">
      <c r="A78" s="12" t="inlineStr">
        <is>
          <t>Margin Loan 保证金借款</t>
        </is>
      </c>
      <c r="B78" s="13" t="n">
        <v>461305.26</v>
      </c>
      <c r="C78" s="15" t="n">
        <v>0</v>
      </c>
      <c r="D78" s="13" t="n">
        <v>362634.11</v>
      </c>
      <c r="E78" s="13" t="n">
        <v>81266.58</v>
      </c>
    </row>
    <row r="79">
      <c r="A79" s="16" t="inlineStr">
        <is>
          <t>Total Liabilities 总负债</t>
        </is>
      </c>
      <c r="B79" s="4" t="n">
        <v>981727.09</v>
      </c>
      <c r="C79" s="4" t="n">
        <v>274489.11</v>
      </c>
      <c r="D79" s="4" t="n">
        <v>538948.4399999999</v>
      </c>
      <c r="E79" s="4" t="n">
        <v>318249.18</v>
      </c>
    </row>
    <row r="80">
      <c r="A80" s="14" t="inlineStr">
        <is>
          <t>NAV (Equity) 净值 = TA - TL</t>
        </is>
      </c>
      <c r="B80" s="13" t="n">
        <v>449431.44</v>
      </c>
      <c r="C80" s="13" t="n">
        <v>440156.96</v>
      </c>
      <c r="D80" s="13" t="n">
        <v>458893.44</v>
      </c>
      <c r="E80" s="13" t="n">
        <v>557356.95</v>
      </c>
    </row>
    <row r="81">
      <c r="A81" s="10" t="inlineStr">
        <is>
          <t>Gross Leverage 总杠杆 (x)</t>
        </is>
      </c>
      <c r="B81" s="7" t="n">
        <v>3.161</v>
      </c>
      <c r="C81" s="7" t="n">
        <v>1.247</v>
      </c>
      <c r="D81" s="7" t="n">
        <v>2.167</v>
      </c>
      <c r="E81" s="7" t="n">
        <v>1.562</v>
      </c>
    </row>
    <row r="82">
      <c r="A82" s="12" t="inlineStr">
        <is>
          <t>Net Leverage 净杠杆 (x)</t>
        </is>
      </c>
      <c r="B82" s="17" t="n">
        <v>0.845</v>
      </c>
      <c r="C82" s="17" t="n">
        <v>0</v>
      </c>
      <c r="D82" s="17" t="n">
        <v>1.398</v>
      </c>
      <c r="E82" s="17" t="n">
        <v>0.712</v>
      </c>
    </row>
    <row r="83">
      <c r="A83" s="10" t="inlineStr">
        <is>
          <t>PM Requirement (20%)</t>
        </is>
      </c>
      <c r="B83" s="4" t="n">
        <v>284150.02</v>
      </c>
      <c r="C83" s="4" t="n">
        <v>109806.64</v>
      </c>
      <c r="D83" s="4" t="n">
        <v>198863.12</v>
      </c>
      <c r="E83" s="4" t="n">
        <v>174173.29</v>
      </c>
    </row>
    <row r="84">
      <c r="A84" s="12" t="inlineStr">
        <is>
          <t>Excess Liquidity 超额流动性</t>
        </is>
      </c>
      <c r="B84" s="13" t="n">
        <v>165281.42</v>
      </c>
      <c r="C84" s="13" t="n">
        <v>330350.32</v>
      </c>
      <c r="D84" s="13" t="n">
        <v>260030.32</v>
      </c>
      <c r="E84" s="13" t="n">
        <v>383183.66</v>
      </c>
    </row>
    <row r="85">
      <c r="A85" s="10" t="inlineStr">
        <is>
          <t>Balance Check (≈0)</t>
        </is>
      </c>
      <c r="B85" s="7" t="n">
        <v>-0</v>
      </c>
      <c r="C85" s="7" t="n">
        <v>0</v>
      </c>
      <c r="D85" s="7" t="n">
        <v>0</v>
      </c>
      <c r="E85" s="7" t="n">
        <v>0</v>
      </c>
    </row>
    <row r="87">
      <c r="A87" s="8" t="inlineStr">
        <is>
          <t>MTFS — 双账户法</t>
        </is>
      </c>
    </row>
    <row r="88">
      <c r="A88" s="9" t="inlineStr">
        <is>
          <t>Line item</t>
        </is>
      </c>
      <c r="B88" s="9" t="inlineStr">
        <is>
          <t>T (今日)</t>
        </is>
      </c>
      <c r="C88" s="9" t="inlineStr">
        <is>
          <t>T-1D (前日)</t>
        </is>
      </c>
      <c r="D88" s="9" t="inlineStr">
        <is>
          <t>T-1W (上周)</t>
        </is>
      </c>
      <c r="E88" s="9" t="inlineStr">
        <is>
          <t>T-1M (上月)</t>
        </is>
      </c>
    </row>
    <row r="89">
      <c r="A89" s="10" t="inlineStr">
        <is>
          <t>Long Book — Allocated Capital 分配资本</t>
        </is>
      </c>
      <c r="B89" s="4" t="n">
        <v>449431.44</v>
      </c>
      <c r="C89" s="4" t="n">
        <v>274544.11</v>
      </c>
      <c r="D89" s="4" t="n">
        <v>458893.44</v>
      </c>
      <c r="E89" s="4" t="n">
        <v>557356.95</v>
      </c>
    </row>
    <row r="90">
      <c r="A90" s="12" t="inlineStr">
        <is>
          <t>Long Book — Cash 现金</t>
        </is>
      </c>
      <c r="B90" s="15" t="n">
        <v>0</v>
      </c>
      <c r="C90" s="15" t="n">
        <v>0</v>
      </c>
      <c r="D90" s="15" t="n">
        <v>0</v>
      </c>
      <c r="E90" s="15" t="n">
        <v>0</v>
      </c>
    </row>
    <row r="91">
      <c r="A91" s="10" t="inlineStr">
        <is>
          <t>Long Book — Market Value 市值</t>
        </is>
      </c>
      <c r="B91" s="4" t="n">
        <v>900328.26</v>
      </c>
      <c r="C91" s="4" t="n">
        <v>274544.11</v>
      </c>
      <c r="D91" s="4" t="n">
        <v>818001.26</v>
      </c>
      <c r="E91" s="4" t="n">
        <v>633883.87</v>
      </c>
    </row>
    <row r="92">
      <c r="A92" s="12" t="inlineStr">
        <is>
          <t>Long Book — Margin Loan 融资</t>
        </is>
      </c>
      <c r="B92" s="13" t="n">
        <v>450896.82</v>
      </c>
      <c r="C92" s="15" t="n">
        <v>0</v>
      </c>
      <c r="D92" s="13" t="n">
        <v>359107.82</v>
      </c>
      <c r="E92" s="13" t="n">
        <v>76526.92</v>
      </c>
    </row>
    <row r="93">
      <c r="A93" s="16" t="inlineStr">
        <is>
          <t>Long Book — NAV</t>
        </is>
      </c>
      <c r="B93" s="4" t="n">
        <v>449431.44</v>
      </c>
      <c r="C93" s="4" t="n">
        <v>274544.11</v>
      </c>
      <c r="D93" s="4" t="n">
        <v>458893.44</v>
      </c>
      <c r="E93" s="4" t="n">
        <v>557356.95</v>
      </c>
    </row>
    <row r="94">
      <c r="A94" s="12" t="inlineStr">
        <is>
          <t>Short Book — Allocated Capital 分配资本</t>
        </is>
      </c>
      <c r="B94" s="15" t="n">
        <v>0</v>
      </c>
      <c r="C94" s="13" t="n">
        <v>5489.78</v>
      </c>
      <c r="D94" s="15" t="n">
        <v>0</v>
      </c>
      <c r="E94" s="15" t="n">
        <v>0</v>
      </c>
    </row>
    <row r="95">
      <c r="A95" s="10" t="inlineStr">
        <is>
          <t>Short Book — Collateral 担保金</t>
        </is>
      </c>
      <c r="B95" s="11" t="n">
        <v>0</v>
      </c>
      <c r="C95" s="4" t="n">
        <v>5489.78</v>
      </c>
      <c r="D95" s="11" t="n">
        <v>0</v>
      </c>
      <c r="E95" s="11" t="n">
        <v>0</v>
      </c>
    </row>
    <row r="96">
      <c r="A96" s="12" t="inlineStr">
        <is>
          <t>Short Book — Short Proceeds 做空收入</t>
        </is>
      </c>
      <c r="B96" s="13" t="n">
        <v>520421.83</v>
      </c>
      <c r="C96" s="13" t="n">
        <v>274489.11</v>
      </c>
      <c r="D96" s="13" t="n">
        <v>176314.33</v>
      </c>
      <c r="E96" s="13" t="n">
        <v>236982.6</v>
      </c>
    </row>
    <row r="97">
      <c r="A97" s="10" t="inlineStr">
        <is>
          <t>Short Book — Market Value 市值(负债)</t>
        </is>
      </c>
      <c r="B97" s="4" t="n">
        <v>520421.83</v>
      </c>
      <c r="C97" s="4" t="n">
        <v>274489.11</v>
      </c>
      <c r="D97" s="4" t="n">
        <v>176314.33</v>
      </c>
      <c r="E97" s="4" t="n">
        <v>236982.6</v>
      </c>
    </row>
    <row r="98">
      <c r="A98" s="12" t="inlineStr">
        <is>
          <t>Short Book — Margin Loan 融资(2%)</t>
        </is>
      </c>
      <c r="B98" s="13" t="n">
        <v>10408.44</v>
      </c>
      <c r="C98" s="15" t="n">
        <v>0</v>
      </c>
      <c r="D98" s="13" t="n">
        <v>3526.29</v>
      </c>
      <c r="E98" s="13" t="n">
        <v>4739.65</v>
      </c>
    </row>
    <row r="99">
      <c r="A99" s="16" t="inlineStr">
        <is>
          <t>Short Book — NAV</t>
        </is>
      </c>
      <c r="B99" s="11" t="n">
        <v>0</v>
      </c>
      <c r="C99" s="4" t="n">
        <v>5489.78</v>
      </c>
      <c r="D99" s="11" t="n">
        <v>0</v>
      </c>
      <c r="E99" s="11" t="n">
        <v>0</v>
      </c>
    </row>
    <row r="100">
      <c r="A100" s="12" t="inlineStr">
        <is>
          <t>Unallocated Cash 未分配现金</t>
        </is>
      </c>
      <c r="B100" s="15" t="n">
        <v>0</v>
      </c>
      <c r="C100" s="13" t="n">
        <v>160123.07</v>
      </c>
      <c r="D100" s="15" t="n">
        <v>0</v>
      </c>
      <c r="E100" s="15" t="n">
        <v>0</v>
      </c>
    </row>
    <row r="101">
      <c r="A101" s="16" t="inlineStr">
        <is>
          <t>Dual-View NAV 双账户法NAV</t>
        </is>
      </c>
      <c r="B101" s="4" t="n">
        <v>449431.44</v>
      </c>
      <c r="C101" s="4" t="n">
        <v>440156.96</v>
      </c>
      <c r="D101" s="4" t="n">
        <v>458893.44</v>
      </c>
      <c r="E101" s="4" t="n">
        <v>557356.95</v>
      </c>
    </row>
    <row r="102">
      <c r="A102" s="12" t="inlineStr">
        <is>
          <t>NAV Alignment Check (≈0)</t>
        </is>
      </c>
      <c r="B102" s="17" t="n">
        <v>0</v>
      </c>
      <c r="C102" s="17" t="n">
        <v>0</v>
      </c>
      <c r="D102" s="17" t="n">
        <v>0</v>
      </c>
      <c r="E102" s="17" t="n">
        <v>0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INCOME STATEMENT — 利润表 (net income authoritative)</t>
        </is>
      </c>
    </row>
    <row r="3">
      <c r="A3" s="8" t="inlineStr">
        <is>
          <t>COMBINED</t>
        </is>
      </c>
    </row>
    <row r="4">
      <c r="A4" s="9" t="inlineStr">
        <is>
          <t>Line item</t>
        </is>
      </c>
      <c r="B4" s="9" t="inlineStr">
        <is>
          <t>1D</t>
        </is>
      </c>
      <c r="C4" s="9" t="inlineStr">
        <is>
          <t>1W</t>
        </is>
      </c>
      <c r="D4" s="9" t="inlineStr">
        <is>
          <t>1M</t>
        </is>
      </c>
      <c r="E4" s="9" t="inlineStr">
        <is>
          <t>ITD</t>
        </is>
      </c>
    </row>
    <row r="5">
      <c r="A5" s="16" t="inlineStr">
        <is>
          <t>Net income</t>
        </is>
      </c>
      <c r="B5" s="4" t="n">
        <v>629.62</v>
      </c>
      <c r="C5" s="18" t="n">
        <v>-7114.27</v>
      </c>
      <c r="D5" s="18" t="n">
        <v>-110500.21</v>
      </c>
      <c r="E5" s="4" t="n">
        <v>107720.66</v>
      </c>
    </row>
    <row r="6">
      <c r="A6" s="12" t="inlineStr">
        <is>
          <t>Interest expense (est)</t>
        </is>
      </c>
      <c r="B6" s="15" t="n">
        <v>14.15</v>
      </c>
      <c r="C6" s="15" t="n">
        <v>70.75</v>
      </c>
      <c r="D6" s="13" t="n">
        <v>297.13</v>
      </c>
      <c r="E6" s="13" t="n">
        <v>2532.7</v>
      </c>
    </row>
    <row r="7">
      <c r="A7" s="10" t="inlineStr">
        <is>
          <t>Current unrealized PnL</t>
        </is>
      </c>
      <c r="B7" s="4" t="n">
        <v>8534.42</v>
      </c>
    </row>
    <row r="9">
      <c r="A9" s="8" t="inlineStr">
        <is>
          <t>MRPT</t>
        </is>
      </c>
    </row>
    <row r="10">
      <c r="A10" s="9" t="inlineStr">
        <is>
          <t>Line item</t>
        </is>
      </c>
      <c r="B10" s="9" t="inlineStr">
        <is>
          <t>1D</t>
        </is>
      </c>
      <c r="C10" s="9" t="inlineStr">
        <is>
          <t>1W</t>
        </is>
      </c>
      <c r="D10" s="9" t="inlineStr">
        <is>
          <t>1M</t>
        </is>
      </c>
      <c r="E10" s="9" t="inlineStr">
        <is>
          <t>ITD</t>
        </is>
      </c>
    </row>
    <row r="11">
      <c r="A11" s="16" t="inlineStr">
        <is>
          <t>Net income</t>
        </is>
      </c>
      <c r="B11" s="18" t="n">
        <v>-8644.870000000001</v>
      </c>
      <c r="C11" s="4" t="n">
        <v>2347.72</v>
      </c>
      <c r="D11" s="18" t="n">
        <v>-2574.71</v>
      </c>
      <c r="E11" s="4" t="n">
        <v>70456.06</v>
      </c>
    </row>
    <row r="12">
      <c r="A12" s="12" t="inlineStr">
        <is>
          <t>Interest expense (est)</t>
        </is>
      </c>
      <c r="B12" s="15" t="n">
        <v>0</v>
      </c>
      <c r="C12" s="15" t="n">
        <v>0</v>
      </c>
      <c r="D12" s="15" t="n">
        <v>0</v>
      </c>
      <c r="E12" s="15" t="n">
        <v>0</v>
      </c>
    </row>
    <row r="13">
      <c r="A13" s="10" t="inlineStr">
        <is>
          <t>Current unrealized PnL</t>
        </is>
      </c>
      <c r="B13" s="4" t="n">
        <v>5412.19</v>
      </c>
    </row>
    <row r="15">
      <c r="A15" s="8" t="inlineStr">
        <is>
          <t>MTFS</t>
        </is>
      </c>
    </row>
    <row r="16">
      <c r="A16" s="9" t="inlineStr">
        <is>
          <t>Line item</t>
        </is>
      </c>
      <c r="B16" s="9" t="inlineStr">
        <is>
          <t>1D</t>
        </is>
      </c>
      <c r="C16" s="9" t="inlineStr">
        <is>
          <t>1W</t>
        </is>
      </c>
      <c r="D16" s="9" t="inlineStr">
        <is>
          <t>1M</t>
        </is>
      </c>
      <c r="E16" s="9" t="inlineStr">
        <is>
          <t>ITD</t>
        </is>
      </c>
    </row>
    <row r="17">
      <c r="A17" s="16" t="inlineStr">
        <is>
          <t>Net income</t>
        </is>
      </c>
      <c r="B17" s="4" t="n">
        <v>9274.48</v>
      </c>
      <c r="C17" s="18" t="n">
        <v>-9462</v>
      </c>
      <c r="D17" s="18" t="n">
        <v>-107925.51</v>
      </c>
      <c r="E17" s="4" t="n">
        <v>37264.59</v>
      </c>
    </row>
    <row r="18">
      <c r="A18" s="12" t="inlineStr">
        <is>
          <t>Interest expense (est)</t>
        </is>
      </c>
      <c r="B18" s="15" t="n">
        <v>63.19</v>
      </c>
      <c r="C18" s="13" t="n">
        <v>315.96</v>
      </c>
      <c r="D18" s="13" t="n">
        <v>1327.04</v>
      </c>
      <c r="E18" s="13" t="n">
        <v>11311.46</v>
      </c>
    </row>
    <row r="19">
      <c r="A19" s="10" t="inlineStr">
        <is>
          <t>Current unrealized PnL</t>
        </is>
      </c>
      <c r="B19" s="4" t="n">
        <v>3122.23</v>
      </c>
    </row>
    <row r="21">
      <c r="A21" s="2" t="inlineStr">
        <is>
          <t>Note: net_income authoritative (strategy_performance); interest estimated on current margin; unrealized exact from inventory open prices.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STATEMENT OF CHANGES IN CAPITAL — 资本变动表</t>
        </is>
      </c>
    </row>
    <row r="3">
      <c r="A3" s="8" t="inlineStr">
        <is>
          <t>COMBINED</t>
        </is>
      </c>
    </row>
    <row r="4">
      <c r="A4" s="9" t="inlineStr">
        <is>
          <t>Line item</t>
        </is>
      </c>
      <c r="B4" s="9" t="inlineStr">
        <is>
          <t>1D</t>
        </is>
      </c>
      <c r="C4" s="9" t="inlineStr">
        <is>
          <t>1W</t>
        </is>
      </c>
      <c r="D4" s="9" t="inlineStr">
        <is>
          <t>1M</t>
        </is>
      </c>
      <c r="E4" s="9" t="inlineStr">
        <is>
          <t>ITD</t>
        </is>
      </c>
    </row>
    <row r="5">
      <c r="A5" s="16" t="inlineStr">
        <is>
          <t>Beginning NAV</t>
        </is>
      </c>
      <c r="B5" s="4" t="n">
        <v>1028589.83</v>
      </c>
      <c r="C5" s="4" t="n">
        <v>1036333.72</v>
      </c>
      <c r="D5" s="4" t="n">
        <v>1139719.66</v>
      </c>
      <c r="E5" s="4" t="n">
        <v>921498.79</v>
      </c>
    </row>
    <row r="6">
      <c r="A6" s="12" t="inlineStr">
        <is>
          <t>Net income</t>
        </is>
      </c>
      <c r="B6" s="13" t="n">
        <v>629.62</v>
      </c>
      <c r="C6" s="19" t="n">
        <v>-7114.27</v>
      </c>
      <c r="D6" s="19" t="n">
        <v>-110500.21</v>
      </c>
      <c r="E6" s="13" t="n">
        <v>107720.66</v>
      </c>
    </row>
    <row r="7">
      <c r="A7" s="10" t="inlineStr">
        <is>
          <t>Contributions</t>
        </is>
      </c>
      <c r="B7" s="11" t="n">
        <v>0</v>
      </c>
      <c r="C7" s="11" t="n">
        <v>0</v>
      </c>
      <c r="D7" s="11" t="n">
        <v>0</v>
      </c>
      <c r="E7" s="11" t="n">
        <v>0</v>
      </c>
    </row>
    <row r="8">
      <c r="A8" s="12" t="inlineStr">
        <is>
          <t>Withdrawals</t>
        </is>
      </c>
      <c r="B8" s="15" t="n">
        <v>0</v>
      </c>
      <c r="C8" s="15" t="n">
        <v>0</v>
      </c>
      <c r="D8" s="15" t="n">
        <v>0</v>
      </c>
      <c r="E8" s="15" t="n">
        <v>0</v>
      </c>
    </row>
    <row r="9">
      <c r="A9" s="16" t="inlineStr">
        <is>
          <t>Ending NAV</t>
        </is>
      </c>
      <c r="B9" s="4" t="n">
        <v>1029219.45</v>
      </c>
      <c r="C9" s="4" t="n">
        <v>1029219.45</v>
      </c>
      <c r="D9" s="4" t="n">
        <v>1029219.45</v>
      </c>
      <c r="E9" s="4" t="n">
        <v>1029219.45</v>
      </c>
    </row>
    <row r="10">
      <c r="A10" s="12" t="inlineStr">
        <is>
          <t>Return (%)</t>
        </is>
      </c>
      <c r="B10" s="20" t="n">
        <v>0.06</v>
      </c>
      <c r="C10" s="21" t="n">
        <v>-0.6899999999999999</v>
      </c>
      <c r="D10" s="21" t="n">
        <v>-9.699999999999999</v>
      </c>
      <c r="E10" s="20" t="n">
        <v>11.69</v>
      </c>
    </row>
    <row r="11">
      <c r="A11" s="10" t="inlineStr">
        <is>
          <t>Max drawdown (%)</t>
        </is>
      </c>
      <c r="B11" s="22" t="n">
        <v>0</v>
      </c>
      <c r="C11" s="23" t="n">
        <v>-1.58</v>
      </c>
      <c r="D11" s="23" t="n">
        <v>-14.48</v>
      </c>
      <c r="E11" s="23" t="n">
        <v>-14.48</v>
      </c>
    </row>
    <row r="13">
      <c r="A13" s="8" t="inlineStr">
        <is>
          <t>MRPT</t>
        </is>
      </c>
    </row>
    <row r="14">
      <c r="A14" s="9" t="inlineStr">
        <is>
          <t>Line item</t>
        </is>
      </c>
      <c r="B14" s="9" t="inlineStr">
        <is>
          <t>1D</t>
        </is>
      </c>
      <c r="C14" s="9" t="inlineStr">
        <is>
          <t>1W</t>
        </is>
      </c>
      <c r="D14" s="9" t="inlineStr">
        <is>
          <t>1M</t>
        </is>
      </c>
      <c r="E14" s="9" t="inlineStr">
        <is>
          <t>ITD</t>
        </is>
      </c>
    </row>
    <row r="15">
      <c r="A15" s="16" t="inlineStr">
        <is>
          <t>Beginning NAV</t>
        </is>
      </c>
      <c r="B15" s="4" t="n">
        <v>588432.87</v>
      </c>
      <c r="C15" s="4" t="n">
        <v>577440.28</v>
      </c>
      <c r="D15" s="4" t="n">
        <v>582362.71</v>
      </c>
      <c r="E15" s="4" t="n">
        <v>509331.94</v>
      </c>
    </row>
    <row r="16">
      <c r="A16" s="12" t="inlineStr">
        <is>
          <t>Net income</t>
        </is>
      </c>
      <c r="B16" s="19" t="n">
        <v>-8644.870000000001</v>
      </c>
      <c r="C16" s="13" t="n">
        <v>2347.72</v>
      </c>
      <c r="D16" s="19" t="n">
        <v>-2574.71</v>
      </c>
      <c r="E16" s="13" t="n">
        <v>70456.06</v>
      </c>
    </row>
    <row r="17">
      <c r="A17" s="10" t="inlineStr">
        <is>
          <t>Contributions</t>
        </is>
      </c>
      <c r="B17" s="11" t="n">
        <v>0</v>
      </c>
      <c r="C17" s="11" t="n">
        <v>0</v>
      </c>
      <c r="D17" s="11" t="n">
        <v>0</v>
      </c>
      <c r="E17" s="11" t="n">
        <v>0</v>
      </c>
    </row>
    <row r="18">
      <c r="A18" s="12" t="inlineStr">
        <is>
          <t>Withdrawals</t>
        </is>
      </c>
      <c r="B18" s="15" t="n">
        <v>0</v>
      </c>
      <c r="C18" s="15" t="n">
        <v>0</v>
      </c>
      <c r="D18" s="15" t="n">
        <v>0</v>
      </c>
      <c r="E18" s="15" t="n">
        <v>0</v>
      </c>
    </row>
    <row r="19">
      <c r="A19" s="16" t="inlineStr">
        <is>
          <t>Ending NAV</t>
        </is>
      </c>
      <c r="B19" s="4" t="n">
        <v>579788</v>
      </c>
      <c r="C19" s="4" t="n">
        <v>579788</v>
      </c>
      <c r="D19" s="4" t="n">
        <v>579788</v>
      </c>
      <c r="E19" s="4" t="n">
        <v>579788</v>
      </c>
    </row>
    <row r="20">
      <c r="A20" s="12" t="inlineStr">
        <is>
          <t>Return (%)</t>
        </is>
      </c>
      <c r="B20" s="21" t="n">
        <v>-1.47</v>
      </c>
      <c r="C20" s="20" t="n">
        <v>0.41</v>
      </c>
      <c r="D20" s="21" t="n">
        <v>-0.44</v>
      </c>
      <c r="E20" s="20" t="n">
        <v>13.83</v>
      </c>
    </row>
    <row r="21">
      <c r="A21" s="10" t="inlineStr">
        <is>
          <t>Max drawdown (%)</t>
        </is>
      </c>
      <c r="B21" s="23" t="n">
        <v>-1.47</v>
      </c>
      <c r="C21" s="23" t="n">
        <v>-1.47</v>
      </c>
      <c r="D21" s="23" t="n">
        <v>-3.91</v>
      </c>
      <c r="E21" s="23" t="n">
        <v>-10.81</v>
      </c>
    </row>
    <row r="23">
      <c r="A23" s="8" t="inlineStr">
        <is>
          <t>MTFS</t>
        </is>
      </c>
    </row>
    <row r="24">
      <c r="A24" s="9" t="inlineStr">
        <is>
          <t>Line item</t>
        </is>
      </c>
      <c r="B24" s="9" t="inlineStr">
        <is>
          <t>1D</t>
        </is>
      </c>
      <c r="C24" s="9" t="inlineStr">
        <is>
          <t>1W</t>
        </is>
      </c>
      <c r="D24" s="9" t="inlineStr">
        <is>
          <t>1M</t>
        </is>
      </c>
      <c r="E24" s="9" t="inlineStr">
        <is>
          <t>ITD</t>
        </is>
      </c>
    </row>
    <row r="25">
      <c r="A25" s="16" t="inlineStr">
        <is>
          <t>Beginning NAV</t>
        </is>
      </c>
      <c r="B25" s="4" t="n">
        <v>440156.96</v>
      </c>
      <c r="C25" s="4" t="n">
        <v>458893.44</v>
      </c>
      <c r="D25" s="4" t="n">
        <v>557356.95</v>
      </c>
      <c r="E25" s="4" t="n">
        <v>412166.85</v>
      </c>
    </row>
    <row r="26">
      <c r="A26" s="12" t="inlineStr">
        <is>
          <t>Net income</t>
        </is>
      </c>
      <c r="B26" s="13" t="n">
        <v>9274.48</v>
      </c>
      <c r="C26" s="19" t="n">
        <v>-9462</v>
      </c>
      <c r="D26" s="19" t="n">
        <v>-107925.51</v>
      </c>
      <c r="E26" s="13" t="n">
        <v>37264.59</v>
      </c>
    </row>
    <row r="27">
      <c r="A27" s="10" t="inlineStr">
        <is>
          <t>Contributions</t>
        </is>
      </c>
      <c r="B27" s="11" t="n">
        <v>0</v>
      </c>
      <c r="C27" s="11" t="n">
        <v>0</v>
      </c>
      <c r="D27" s="11" t="n">
        <v>0</v>
      </c>
      <c r="E27" s="11" t="n">
        <v>0</v>
      </c>
    </row>
    <row r="28">
      <c r="A28" s="12" t="inlineStr">
        <is>
          <t>Withdrawals</t>
        </is>
      </c>
      <c r="B28" s="15" t="n">
        <v>0</v>
      </c>
      <c r="C28" s="15" t="n">
        <v>0</v>
      </c>
      <c r="D28" s="15" t="n">
        <v>0</v>
      </c>
      <c r="E28" s="15" t="n">
        <v>0</v>
      </c>
    </row>
    <row r="29">
      <c r="A29" s="16" t="inlineStr">
        <is>
          <t>Ending NAV</t>
        </is>
      </c>
      <c r="B29" s="4" t="n">
        <v>449431.44</v>
      </c>
      <c r="C29" s="4" t="n">
        <v>449431.44</v>
      </c>
      <c r="D29" s="4" t="n">
        <v>449431.44</v>
      </c>
      <c r="E29" s="4" t="n">
        <v>449431.44</v>
      </c>
    </row>
    <row r="30">
      <c r="A30" s="12" t="inlineStr">
        <is>
          <t>Return (%)</t>
        </is>
      </c>
      <c r="B30" s="20" t="n">
        <v>2.11</v>
      </c>
      <c r="C30" s="21" t="n">
        <v>-2.06</v>
      </c>
      <c r="D30" s="21" t="n">
        <v>-19.36</v>
      </c>
      <c r="E30" s="20" t="n">
        <v>9.039999999999999</v>
      </c>
    </row>
    <row r="31">
      <c r="A31" s="10" t="inlineStr">
        <is>
          <t>Max drawdown (%)</t>
        </is>
      </c>
      <c r="B31" s="22" t="n">
        <v>0</v>
      </c>
      <c r="C31" s="23" t="n">
        <v>-4.65</v>
      </c>
      <c r="D31" s="23" t="n">
        <v>-27.53</v>
      </c>
      <c r="E31" s="23" t="n">
        <v>-27.53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CASH FLOW STATEMENT — 现金流量表 (indirect, approximate)</t>
        </is>
      </c>
    </row>
    <row r="3">
      <c r="A3" s="3" t="inlineStr">
        <is>
          <t>Period</t>
        </is>
      </c>
      <c r="B3" s="7" t="inlineStr">
        <is>
          <t>1 week</t>
        </is>
      </c>
    </row>
    <row r="4">
      <c r="A4" s="3" t="inlineStr">
        <is>
          <t>Operating cash flow</t>
        </is>
      </c>
      <c r="B4" s="18" t="n">
        <v>-7114.27</v>
      </c>
    </row>
    <row r="5">
      <c r="A5" s="3" t="inlineStr">
        <is>
          <t>Investing cash flow</t>
        </is>
      </c>
      <c r="B5" s="4" t="n">
        <v>259741.2</v>
      </c>
    </row>
    <row r="6">
      <c r="A6" s="3" t="inlineStr">
        <is>
          <t>Financing cash flow</t>
        </is>
      </c>
      <c r="B6" s="4" t="n">
        <v>103289.03</v>
      </c>
    </row>
    <row r="7">
      <c r="A7" s="3" t="inlineStr">
        <is>
          <t>Net change in cash</t>
        </is>
      </c>
      <c r="B7" s="4" t="n">
        <v>355915.96</v>
      </c>
    </row>
    <row r="8">
      <c r="A8" s="3" t="inlineStr">
        <is>
          <t>Beginning cash</t>
        </is>
      </c>
      <c r="B8" s="4" t="n">
        <v>87238.14999999999</v>
      </c>
    </row>
    <row r="9">
      <c r="A9" s="3" t="inlineStr">
        <is>
          <t>Ending cash</t>
        </is>
      </c>
      <c r="B9" s="6" t="n">
        <v>0</v>
      </c>
    </row>
    <row r="11">
      <c r="A11" s="2" t="inlineStr">
        <is>
          <t>indirect-method; operating=ΔNAV (interest already in net income, shown as memo)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82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</cols>
  <sheetData>
    <row r="1">
      <c r="A1" s="1" t="inlineStr">
        <is>
          <t>NAV TREND — 净值趋势 (combined)</t>
        </is>
      </c>
    </row>
    <row r="3">
      <c r="A3" s="9" t="inlineStr">
        <is>
          <t>Date</t>
        </is>
      </c>
      <c r="B3" s="9" t="inlineStr">
        <is>
          <t>NAV</t>
        </is>
      </c>
    </row>
    <row r="4">
      <c r="A4" s="10" t="inlineStr">
        <is>
          <t>2025-11-11</t>
        </is>
      </c>
      <c r="B4" s="4" t="n">
        <v>921498.79</v>
      </c>
    </row>
    <row r="5">
      <c r="A5" s="12" t="inlineStr">
        <is>
          <t>2025-11-12</t>
        </is>
      </c>
      <c r="B5" s="13" t="n">
        <v>920145.52</v>
      </c>
    </row>
    <row r="6">
      <c r="A6" s="10" t="inlineStr">
        <is>
          <t>2025-11-13</t>
        </is>
      </c>
      <c r="B6" s="4" t="n">
        <v>928750.84</v>
      </c>
    </row>
    <row r="7">
      <c r="A7" s="12" t="inlineStr">
        <is>
          <t>2025-11-14</t>
        </is>
      </c>
      <c r="B7" s="13" t="n">
        <v>927421.01</v>
      </c>
    </row>
    <row r="8">
      <c r="A8" s="10" t="inlineStr">
        <is>
          <t>2025-11-17</t>
        </is>
      </c>
      <c r="B8" s="4" t="n">
        <v>923804.37</v>
      </c>
    </row>
    <row r="9">
      <c r="A9" s="12" t="inlineStr">
        <is>
          <t>2025-11-18</t>
        </is>
      </c>
      <c r="B9" s="13" t="n">
        <v>928726.75</v>
      </c>
    </row>
    <row r="10">
      <c r="A10" s="10" t="inlineStr">
        <is>
          <t>2025-11-19</t>
        </is>
      </c>
      <c r="B10" s="4" t="n">
        <v>933367.67</v>
      </c>
    </row>
    <row r="11">
      <c r="A11" s="12" t="inlineStr">
        <is>
          <t>2025-11-20</t>
        </is>
      </c>
      <c r="B11" s="13" t="n">
        <v>933949</v>
      </c>
    </row>
    <row r="12">
      <c r="A12" s="10" t="inlineStr">
        <is>
          <t>2025-11-21</t>
        </is>
      </c>
      <c r="B12" s="4" t="n">
        <v>934960.8100000001</v>
      </c>
    </row>
    <row r="13">
      <c r="A13" s="12" t="inlineStr">
        <is>
          <t>2025-11-24</t>
        </is>
      </c>
      <c r="B13" s="13" t="n">
        <v>936362.95</v>
      </c>
    </row>
    <row r="14">
      <c r="A14" s="10" t="inlineStr">
        <is>
          <t>2025-11-25</t>
        </is>
      </c>
      <c r="B14" s="4" t="n">
        <v>938897.52</v>
      </c>
    </row>
    <row r="15">
      <c r="A15" s="12" t="inlineStr">
        <is>
          <t>2025-11-26</t>
        </is>
      </c>
      <c r="B15" s="13" t="n">
        <v>940311.95</v>
      </c>
    </row>
    <row r="16">
      <c r="A16" s="10" t="inlineStr">
        <is>
          <t>2025-11-27</t>
        </is>
      </c>
      <c r="B16" s="4" t="n">
        <v>940681.79</v>
      </c>
    </row>
    <row r="17">
      <c r="A17" s="12" t="inlineStr">
        <is>
          <t>2025-11-28</t>
        </is>
      </c>
      <c r="B17" s="13" t="n">
        <v>941097.3</v>
      </c>
    </row>
    <row r="18">
      <c r="A18" s="10" t="inlineStr">
        <is>
          <t>2025-12-01</t>
        </is>
      </c>
      <c r="B18" s="4" t="n">
        <v>943777.26</v>
      </c>
    </row>
    <row r="19">
      <c r="A19" s="12" t="inlineStr">
        <is>
          <t>2025-12-02</t>
        </is>
      </c>
      <c r="B19" s="13" t="n">
        <v>941789.37</v>
      </c>
    </row>
    <row r="20">
      <c r="A20" s="10" t="inlineStr">
        <is>
          <t>2025-12-03</t>
        </is>
      </c>
      <c r="B20" s="4" t="n">
        <v>943549.6899999999</v>
      </c>
    </row>
    <row r="21">
      <c r="A21" s="12" t="inlineStr">
        <is>
          <t>2025-12-04</t>
        </is>
      </c>
      <c r="B21" s="13" t="n">
        <v>944624.55</v>
      </c>
    </row>
    <row r="22">
      <c r="A22" s="10" t="inlineStr">
        <is>
          <t>2025-12-05</t>
        </is>
      </c>
      <c r="B22" s="4" t="n">
        <v>951900.26</v>
      </c>
    </row>
    <row r="23">
      <c r="A23" s="12" t="inlineStr">
        <is>
          <t>2025-12-08</t>
        </is>
      </c>
      <c r="B23" s="13" t="n">
        <v>951149.48</v>
      </c>
    </row>
    <row r="24">
      <c r="A24" s="10" t="inlineStr">
        <is>
          <t>2025-12-09</t>
        </is>
      </c>
      <c r="B24" s="4" t="n">
        <v>943663.66</v>
      </c>
    </row>
    <row r="25">
      <c r="A25" s="12" t="inlineStr">
        <is>
          <t>2025-12-10</t>
        </is>
      </c>
      <c r="B25" s="13" t="n">
        <v>939789.53</v>
      </c>
    </row>
    <row r="26">
      <c r="A26" s="10" t="inlineStr">
        <is>
          <t>2025-12-11</t>
        </is>
      </c>
      <c r="B26" s="4" t="n">
        <v>947233.42</v>
      </c>
    </row>
    <row r="27">
      <c r="A27" s="12" t="inlineStr">
        <is>
          <t>2025-12-12</t>
        </is>
      </c>
      <c r="B27" s="13" t="n">
        <v>944781.13</v>
      </c>
    </row>
    <row r="28">
      <c r="A28" s="10" t="inlineStr">
        <is>
          <t>2025-12-15</t>
        </is>
      </c>
      <c r="B28" s="4" t="n">
        <v>950154.39</v>
      </c>
    </row>
    <row r="29">
      <c r="A29" s="12" t="inlineStr">
        <is>
          <t>2025-12-16</t>
        </is>
      </c>
      <c r="B29" s="13" t="n">
        <v>954730.49</v>
      </c>
    </row>
    <row r="30">
      <c r="A30" s="10" t="inlineStr">
        <is>
          <t>2025-12-17</t>
        </is>
      </c>
      <c r="B30" s="4" t="n">
        <v>958238.22</v>
      </c>
    </row>
    <row r="31">
      <c r="A31" s="12" t="inlineStr">
        <is>
          <t>2025-12-18</t>
        </is>
      </c>
      <c r="B31" s="13" t="n">
        <v>961829.1899999999</v>
      </c>
    </row>
    <row r="32">
      <c r="A32" s="10" t="inlineStr">
        <is>
          <t>2025-12-19</t>
        </is>
      </c>
      <c r="B32" s="4" t="n">
        <v>969233.8199999999</v>
      </c>
    </row>
    <row r="33">
      <c r="A33" s="12" t="inlineStr">
        <is>
          <t>2025-12-22</t>
        </is>
      </c>
      <c r="B33" s="13" t="n">
        <v>978293.3</v>
      </c>
    </row>
    <row r="34">
      <c r="A34" s="10" t="inlineStr">
        <is>
          <t>2025-12-23</t>
        </is>
      </c>
      <c r="B34" s="4" t="n">
        <v>972557.1800000001</v>
      </c>
    </row>
    <row r="35">
      <c r="A35" s="12" t="inlineStr">
        <is>
          <t>2025-12-24</t>
        </is>
      </c>
      <c r="B35" s="13" t="n">
        <v>977055.9</v>
      </c>
    </row>
    <row r="36">
      <c r="A36" s="10" t="inlineStr">
        <is>
          <t>2025-12-25</t>
        </is>
      </c>
      <c r="B36" s="4" t="n">
        <v>973847.77</v>
      </c>
    </row>
    <row r="37">
      <c r="A37" s="12" t="inlineStr">
        <is>
          <t>2025-12-26</t>
        </is>
      </c>
      <c r="B37" s="13" t="n">
        <v>973458.4300000001</v>
      </c>
    </row>
    <row r="38">
      <c r="A38" s="10" t="inlineStr">
        <is>
          <t>2025-12-29</t>
        </is>
      </c>
      <c r="B38" s="4" t="n">
        <v>967772.12</v>
      </c>
    </row>
    <row r="39">
      <c r="A39" s="12" t="inlineStr">
        <is>
          <t>2025-12-30</t>
        </is>
      </c>
      <c r="B39" s="13" t="n">
        <v>968757.9399999999</v>
      </c>
    </row>
    <row r="40">
      <c r="A40" s="10" t="inlineStr">
        <is>
          <t>2025-12-31</t>
        </is>
      </c>
      <c r="B40" s="4" t="n">
        <v>971091.25</v>
      </c>
    </row>
    <row r="41">
      <c r="A41" s="12" t="inlineStr">
        <is>
          <t>2026-01-01</t>
        </is>
      </c>
      <c r="B41" s="13" t="n">
        <v>972516.5</v>
      </c>
    </row>
    <row r="42">
      <c r="A42" s="10" t="inlineStr">
        <is>
          <t>2026-01-02</t>
        </is>
      </c>
      <c r="B42" s="4" t="n">
        <v>973249.78</v>
      </c>
    </row>
    <row r="43">
      <c r="A43" s="12" t="inlineStr">
        <is>
          <t>2026-01-05</t>
        </is>
      </c>
      <c r="B43" s="13" t="n">
        <v>976858.89</v>
      </c>
    </row>
    <row r="44">
      <c r="A44" s="10" t="inlineStr">
        <is>
          <t>2026-01-06</t>
        </is>
      </c>
      <c r="B44" s="4" t="n">
        <v>974282.54</v>
      </c>
    </row>
    <row r="45">
      <c r="A45" s="12" t="inlineStr">
        <is>
          <t>2026-01-07</t>
        </is>
      </c>
      <c r="B45" s="13" t="n">
        <v>973465.79</v>
      </c>
    </row>
    <row r="46">
      <c r="A46" s="10" t="inlineStr">
        <is>
          <t>2026-01-08</t>
        </is>
      </c>
      <c r="B46" s="4" t="n">
        <v>972480.84</v>
      </c>
    </row>
    <row r="47">
      <c r="A47" s="12" t="inlineStr">
        <is>
          <t>2026-01-09</t>
        </is>
      </c>
      <c r="B47" s="13" t="n">
        <v>970815.36</v>
      </c>
    </row>
    <row r="48">
      <c r="A48" s="10" t="inlineStr">
        <is>
          <t>2026-01-12</t>
        </is>
      </c>
      <c r="B48" s="4" t="n">
        <v>973267.34</v>
      </c>
    </row>
    <row r="49">
      <c r="A49" s="12" t="inlineStr">
        <is>
          <t>2026-01-13</t>
        </is>
      </c>
      <c r="B49" s="13" t="n">
        <v>969652.23</v>
      </c>
    </row>
    <row r="50">
      <c r="A50" s="10" t="inlineStr">
        <is>
          <t>2026-01-14</t>
        </is>
      </c>
      <c r="B50" s="4" t="n">
        <v>966421.4399999999</v>
      </c>
    </row>
    <row r="51">
      <c r="A51" s="12" t="inlineStr">
        <is>
          <t>2026-01-15</t>
        </is>
      </c>
      <c r="B51" s="13" t="n">
        <v>960219.95</v>
      </c>
    </row>
    <row r="52">
      <c r="A52" s="10" t="inlineStr">
        <is>
          <t>2026-01-16</t>
        </is>
      </c>
      <c r="B52" s="4" t="n">
        <v>955914.71</v>
      </c>
    </row>
    <row r="53">
      <c r="A53" s="12" t="inlineStr">
        <is>
          <t>2026-01-19</t>
        </is>
      </c>
      <c r="B53" s="13" t="n">
        <v>960177.36</v>
      </c>
    </row>
    <row r="54">
      <c r="A54" s="10" t="inlineStr">
        <is>
          <t>2026-01-20</t>
        </is>
      </c>
      <c r="B54" s="4" t="n">
        <v>963985.24</v>
      </c>
    </row>
    <row r="55">
      <c r="A55" s="12" t="inlineStr">
        <is>
          <t>2026-01-21</t>
        </is>
      </c>
      <c r="B55" s="13" t="n">
        <v>957348.36</v>
      </c>
    </row>
    <row r="56">
      <c r="A56" s="10" t="inlineStr">
        <is>
          <t>2026-01-22</t>
        </is>
      </c>
      <c r="B56" s="4" t="n">
        <v>958729.79</v>
      </c>
    </row>
    <row r="57">
      <c r="A57" s="12" t="inlineStr">
        <is>
          <t>2026-01-23</t>
        </is>
      </c>
      <c r="B57" s="13" t="n">
        <v>953553.38</v>
      </c>
    </row>
    <row r="58">
      <c r="A58" s="10" t="inlineStr">
        <is>
          <t>2026-01-26</t>
        </is>
      </c>
      <c r="B58" s="4" t="n">
        <v>956725.72</v>
      </c>
    </row>
    <row r="59">
      <c r="A59" s="12" t="inlineStr">
        <is>
          <t>2026-01-27</t>
        </is>
      </c>
      <c r="B59" s="13" t="n">
        <v>961513.53</v>
      </c>
    </row>
    <row r="60">
      <c r="A60" s="10" t="inlineStr">
        <is>
          <t>2026-01-28</t>
        </is>
      </c>
      <c r="B60" s="4" t="n">
        <v>959132.25</v>
      </c>
    </row>
    <row r="61">
      <c r="A61" s="12" t="inlineStr">
        <is>
          <t>2026-01-29</t>
        </is>
      </c>
      <c r="B61" s="13" t="n">
        <v>965124.04</v>
      </c>
    </row>
    <row r="62">
      <c r="A62" s="10" t="inlineStr">
        <is>
          <t>2026-01-30</t>
        </is>
      </c>
      <c r="B62" s="4" t="n">
        <v>966520.1800000001</v>
      </c>
    </row>
    <row r="63">
      <c r="A63" s="12" t="inlineStr">
        <is>
          <t>2026-02-02</t>
        </is>
      </c>
      <c r="B63" s="13" t="n">
        <v>964421.09</v>
      </c>
    </row>
    <row r="64">
      <c r="A64" s="10" t="inlineStr">
        <is>
          <t>2026-02-03</t>
        </is>
      </c>
      <c r="B64" s="4" t="n">
        <v>968100.74</v>
      </c>
    </row>
    <row r="65">
      <c r="A65" s="12" t="inlineStr">
        <is>
          <t>2026-02-04</t>
        </is>
      </c>
      <c r="B65" s="13" t="n">
        <v>972434.03</v>
      </c>
    </row>
    <row r="66">
      <c r="A66" s="10" t="inlineStr">
        <is>
          <t>2026-02-05</t>
        </is>
      </c>
      <c r="B66" s="4" t="n">
        <v>975551.24</v>
      </c>
    </row>
    <row r="67">
      <c r="A67" s="12" t="inlineStr">
        <is>
          <t>2026-02-06</t>
        </is>
      </c>
      <c r="B67" s="13" t="n">
        <v>974208.01</v>
      </c>
    </row>
    <row r="68">
      <c r="A68" s="10" t="inlineStr">
        <is>
          <t>2026-02-09</t>
        </is>
      </c>
      <c r="B68" s="4" t="n">
        <v>976002.8</v>
      </c>
    </row>
    <row r="69">
      <c r="A69" s="12" t="inlineStr">
        <is>
          <t>2026-02-10</t>
        </is>
      </c>
      <c r="B69" s="13" t="n">
        <v>977007.3</v>
      </c>
    </row>
    <row r="70">
      <c r="A70" s="10" t="inlineStr">
        <is>
          <t>2026-02-11</t>
        </is>
      </c>
      <c r="B70" s="4" t="n">
        <v>982257.04</v>
      </c>
    </row>
    <row r="71">
      <c r="A71" s="12" t="inlineStr">
        <is>
          <t>2026-02-12</t>
        </is>
      </c>
      <c r="B71" s="13" t="n">
        <v>979600.03</v>
      </c>
    </row>
    <row r="72">
      <c r="A72" s="10" t="inlineStr">
        <is>
          <t>2026-02-13</t>
        </is>
      </c>
      <c r="B72" s="4" t="n">
        <v>973566.3100000001</v>
      </c>
    </row>
    <row r="73">
      <c r="A73" s="12" t="inlineStr">
        <is>
          <t>2026-02-16</t>
        </is>
      </c>
      <c r="B73" s="13" t="n">
        <v>974669.4399999999</v>
      </c>
    </row>
    <row r="74">
      <c r="A74" s="10" t="inlineStr">
        <is>
          <t>2026-02-17</t>
        </is>
      </c>
      <c r="B74" s="4" t="n">
        <v>970842.37</v>
      </c>
    </row>
    <row r="75">
      <c r="A75" s="12" t="inlineStr">
        <is>
          <t>2026-02-18</t>
        </is>
      </c>
      <c r="B75" s="13" t="n">
        <v>974868.88</v>
      </c>
    </row>
    <row r="76">
      <c r="A76" s="10" t="inlineStr">
        <is>
          <t>2026-02-19</t>
        </is>
      </c>
      <c r="B76" s="4" t="n">
        <v>969704.4300000001</v>
      </c>
    </row>
    <row r="77">
      <c r="A77" s="12" t="inlineStr">
        <is>
          <t>2026-02-20</t>
        </is>
      </c>
      <c r="B77" s="13" t="n">
        <v>977572.36</v>
      </c>
    </row>
    <row r="78">
      <c r="A78" s="10" t="inlineStr">
        <is>
          <t>2026-02-23</t>
        </is>
      </c>
      <c r="B78" s="4" t="n">
        <v>973301.63</v>
      </c>
    </row>
    <row r="79">
      <c r="A79" s="12" t="inlineStr">
        <is>
          <t>2026-02-24</t>
        </is>
      </c>
      <c r="B79" s="13" t="n">
        <v>967536.17</v>
      </c>
    </row>
    <row r="80">
      <c r="A80" s="10" t="inlineStr">
        <is>
          <t>2026-02-25</t>
        </is>
      </c>
      <c r="B80" s="4" t="n">
        <v>971127.22</v>
      </c>
    </row>
    <row r="81">
      <c r="A81" s="12" t="inlineStr">
        <is>
          <t>2026-02-26</t>
        </is>
      </c>
      <c r="B81" s="13" t="n">
        <v>972867.37</v>
      </c>
    </row>
    <row r="82">
      <c r="A82" s="10" t="inlineStr">
        <is>
          <t>2026-02-27</t>
        </is>
      </c>
      <c r="B82" s="4" t="n">
        <v>973748.77</v>
      </c>
    </row>
    <row r="83">
      <c r="A83" s="12" t="inlineStr">
        <is>
          <t>2026-03-02</t>
        </is>
      </c>
      <c r="B83" s="13" t="n">
        <v>970977.1</v>
      </c>
    </row>
    <row r="84">
      <c r="A84" s="10" t="inlineStr">
        <is>
          <t>2026-03-03</t>
        </is>
      </c>
      <c r="B84" s="4" t="n">
        <v>977904.91</v>
      </c>
    </row>
    <row r="85">
      <c r="A85" s="12" t="inlineStr">
        <is>
          <t>2026-03-04</t>
        </is>
      </c>
      <c r="B85" s="13" t="n">
        <v>975565.89</v>
      </c>
    </row>
    <row r="86">
      <c r="A86" s="10" t="inlineStr">
        <is>
          <t>2026-03-05</t>
        </is>
      </c>
      <c r="B86" s="4" t="n">
        <v>972835.49</v>
      </c>
    </row>
    <row r="87">
      <c r="A87" s="12" t="inlineStr">
        <is>
          <t>2026-03-06</t>
        </is>
      </c>
      <c r="B87" s="13" t="n">
        <v>972468.6800000001</v>
      </c>
    </row>
    <row r="88">
      <c r="A88" s="10" t="inlineStr">
        <is>
          <t>2026-03-09</t>
        </is>
      </c>
      <c r="B88" s="4" t="n">
        <v>971120.1899999999</v>
      </c>
    </row>
    <row r="89">
      <c r="A89" s="12" t="inlineStr">
        <is>
          <t>2026-03-10</t>
        </is>
      </c>
      <c r="B89" s="13" t="n">
        <v>973955.6</v>
      </c>
    </row>
    <row r="90">
      <c r="A90" s="10" t="inlineStr">
        <is>
          <t>2026-03-11</t>
        </is>
      </c>
      <c r="B90" s="4" t="n">
        <v>971710.6800000001</v>
      </c>
    </row>
    <row r="91">
      <c r="A91" s="12" t="inlineStr">
        <is>
          <t>2026-03-12</t>
        </is>
      </c>
      <c r="B91" s="13" t="n">
        <v>976168.45</v>
      </c>
    </row>
    <row r="92">
      <c r="A92" s="10" t="inlineStr">
        <is>
          <t>2026-03-13</t>
        </is>
      </c>
      <c r="B92" s="4" t="n">
        <v>982616.26</v>
      </c>
    </row>
    <row r="93">
      <c r="A93" s="12" t="inlineStr">
        <is>
          <t>2026-03-16</t>
        </is>
      </c>
      <c r="B93" s="13" t="n">
        <v>988503.02</v>
      </c>
    </row>
    <row r="94">
      <c r="A94" s="10" t="inlineStr">
        <is>
          <t>2026-03-17</t>
        </is>
      </c>
      <c r="B94" s="4" t="n">
        <v>991308.51</v>
      </c>
    </row>
    <row r="95">
      <c r="A95" s="12" t="inlineStr">
        <is>
          <t>2026-03-18</t>
        </is>
      </c>
      <c r="B95" s="13" t="n">
        <v>1000000</v>
      </c>
    </row>
    <row r="96">
      <c r="A96" s="10" t="inlineStr">
        <is>
          <t>2026-03-19</t>
        </is>
      </c>
      <c r="B96" s="4" t="n">
        <v>1011431.66</v>
      </c>
    </row>
    <row r="97">
      <c r="A97" s="12" t="inlineStr">
        <is>
          <t>2026-03-20</t>
        </is>
      </c>
      <c r="B97" s="13" t="n">
        <v>1026067.55</v>
      </c>
    </row>
    <row r="98">
      <c r="A98" s="10" t="inlineStr">
        <is>
          <t>2026-03-23</t>
        </is>
      </c>
      <c r="B98" s="4" t="n">
        <v>1027406.68</v>
      </c>
    </row>
    <row r="99">
      <c r="A99" s="12" t="inlineStr">
        <is>
          <t>2026-03-24</t>
        </is>
      </c>
      <c r="B99" s="13" t="n">
        <v>1015071.06</v>
      </c>
    </row>
    <row r="100">
      <c r="A100" s="10" t="inlineStr">
        <is>
          <t>2026-03-25</t>
        </is>
      </c>
      <c r="B100" s="4" t="n">
        <v>1002706.99</v>
      </c>
    </row>
    <row r="101">
      <c r="A101" s="12" t="inlineStr">
        <is>
          <t>2026-03-26</t>
        </is>
      </c>
      <c r="B101" s="13" t="n">
        <v>1012679.25</v>
      </c>
    </row>
    <row r="102">
      <c r="A102" s="10" t="inlineStr">
        <is>
          <t>2026-03-27</t>
        </is>
      </c>
      <c r="B102" s="4" t="n">
        <v>1026012.05</v>
      </c>
    </row>
    <row r="103">
      <c r="A103" s="12" t="inlineStr">
        <is>
          <t>2026-03-30</t>
        </is>
      </c>
      <c r="B103" s="13" t="n">
        <v>1052004.28</v>
      </c>
    </row>
    <row r="104">
      <c r="A104" s="10" t="inlineStr">
        <is>
          <t>2026-03-31</t>
        </is>
      </c>
      <c r="B104" s="4" t="n">
        <v>1049320.58</v>
      </c>
    </row>
    <row r="105">
      <c r="A105" s="12" t="inlineStr">
        <is>
          <t>2026-04-01</t>
        </is>
      </c>
      <c r="B105" s="13" t="n">
        <v>1048422.18</v>
      </c>
    </row>
    <row r="106">
      <c r="A106" s="10" t="inlineStr">
        <is>
          <t>2026-04-02</t>
        </is>
      </c>
      <c r="B106" s="4" t="n">
        <v>1048286.23</v>
      </c>
    </row>
    <row r="107">
      <c r="A107" s="12" t="inlineStr">
        <is>
          <t>2026-04-03</t>
        </is>
      </c>
      <c r="B107" s="13" t="n">
        <v>1042323.48</v>
      </c>
    </row>
    <row r="108">
      <c r="A108" s="10" t="inlineStr">
        <is>
          <t>2026-04-06</t>
        </is>
      </c>
      <c r="B108" s="4" t="n">
        <v>1048055.35</v>
      </c>
    </row>
    <row r="109">
      <c r="A109" s="12" t="inlineStr">
        <is>
          <t>2026-04-07</t>
        </is>
      </c>
      <c r="B109" s="13" t="n">
        <v>1042135.05</v>
      </c>
    </row>
    <row r="110">
      <c r="A110" s="10" t="inlineStr">
        <is>
          <t>2026-04-08</t>
        </is>
      </c>
      <c r="B110" s="4" t="n">
        <v>1043493.89</v>
      </c>
    </row>
    <row r="111">
      <c r="A111" s="12" t="inlineStr">
        <is>
          <t>2026-04-09</t>
        </is>
      </c>
      <c r="B111" s="13" t="n">
        <v>1069643.18</v>
      </c>
    </row>
    <row r="112">
      <c r="A112" s="10" t="inlineStr">
        <is>
          <t>2026-04-10</t>
        </is>
      </c>
      <c r="B112" s="4" t="n">
        <v>1060935.29</v>
      </c>
    </row>
    <row r="113">
      <c r="A113" s="12" t="inlineStr">
        <is>
          <t>2026-04-13</t>
        </is>
      </c>
      <c r="B113" s="13" t="n">
        <v>1074754.02</v>
      </c>
    </row>
    <row r="114">
      <c r="A114" s="10" t="inlineStr">
        <is>
          <t>2026-04-14</t>
        </is>
      </c>
      <c r="B114" s="4" t="n">
        <v>1080629.24</v>
      </c>
    </row>
    <row r="115">
      <c r="A115" s="12" t="inlineStr">
        <is>
          <t>2026-04-15</t>
        </is>
      </c>
      <c r="B115" s="13" t="n">
        <v>1087312.07</v>
      </c>
    </row>
    <row r="116">
      <c r="A116" s="10" t="inlineStr">
        <is>
          <t>2026-04-16</t>
        </is>
      </c>
      <c r="B116" s="4" t="n">
        <v>1071571.66</v>
      </c>
    </row>
    <row r="117">
      <c r="A117" s="12" t="inlineStr">
        <is>
          <t>2026-04-17</t>
        </is>
      </c>
      <c r="B117" s="13" t="n">
        <v>1065570.29</v>
      </c>
    </row>
    <row r="118">
      <c r="A118" s="10" t="inlineStr">
        <is>
          <t>2026-04-20</t>
        </is>
      </c>
      <c r="B118" s="4" t="n">
        <v>1080992.75</v>
      </c>
    </row>
    <row r="119">
      <c r="A119" s="12" t="inlineStr">
        <is>
          <t>2026-04-21</t>
        </is>
      </c>
      <c r="B119" s="13" t="n">
        <v>1076257.9</v>
      </c>
    </row>
    <row r="120">
      <c r="A120" s="10" t="inlineStr">
        <is>
          <t>2026-04-22</t>
        </is>
      </c>
      <c r="B120" s="4" t="n">
        <v>1071812.74</v>
      </c>
    </row>
    <row r="121">
      <c r="A121" s="12" t="inlineStr">
        <is>
          <t>2026-04-23</t>
        </is>
      </c>
      <c r="B121" s="13" t="n">
        <v>1074694.42</v>
      </c>
    </row>
    <row r="122">
      <c r="A122" s="10" t="inlineStr">
        <is>
          <t>2026-04-24</t>
        </is>
      </c>
      <c r="B122" s="4" t="n">
        <v>1075225.67</v>
      </c>
    </row>
    <row r="123">
      <c r="A123" s="12" t="inlineStr">
        <is>
          <t>2026-04-27</t>
        </is>
      </c>
      <c r="B123" s="13" t="n">
        <v>1085670.38</v>
      </c>
    </row>
    <row r="124">
      <c r="A124" s="10" t="inlineStr">
        <is>
          <t>2026-04-28</t>
        </is>
      </c>
      <c r="B124" s="4" t="n">
        <v>1086623.06</v>
      </c>
    </row>
    <row r="125">
      <c r="A125" s="12" t="inlineStr">
        <is>
          <t>2026-04-29</t>
        </is>
      </c>
      <c r="B125" s="13" t="n">
        <v>1093714.77</v>
      </c>
    </row>
    <row r="126">
      <c r="A126" s="10" t="inlineStr">
        <is>
          <t>2026-04-30</t>
        </is>
      </c>
      <c r="B126" s="4" t="n">
        <v>1093954.58</v>
      </c>
    </row>
    <row r="127">
      <c r="A127" s="12" t="inlineStr">
        <is>
          <t>2026-05-01</t>
        </is>
      </c>
      <c r="B127" s="13" t="n">
        <v>1055657.49</v>
      </c>
    </row>
    <row r="128">
      <c r="A128" s="10" t="inlineStr">
        <is>
          <t>2026-05-04</t>
        </is>
      </c>
      <c r="B128" s="4" t="n">
        <v>1051958.31</v>
      </c>
    </row>
    <row r="129">
      <c r="A129" s="12" t="inlineStr">
        <is>
          <t>2026-05-05</t>
        </is>
      </c>
      <c r="B129" s="13" t="n">
        <v>1046232.88</v>
      </c>
    </row>
    <row r="130">
      <c r="A130" s="10" t="inlineStr">
        <is>
          <t>2026-05-06</t>
        </is>
      </c>
      <c r="B130" s="4" t="n">
        <v>1034630.01</v>
      </c>
    </row>
    <row r="131">
      <c r="A131" s="12" t="inlineStr">
        <is>
          <t>2026-05-07</t>
        </is>
      </c>
      <c r="B131" s="13" t="n">
        <v>1041575.62</v>
      </c>
    </row>
    <row r="132">
      <c r="A132" s="10" t="inlineStr">
        <is>
          <t>2026-05-08</t>
        </is>
      </c>
      <c r="B132" s="4" t="n">
        <v>1039327.31</v>
      </c>
    </row>
    <row r="133">
      <c r="A133" s="12" t="inlineStr">
        <is>
          <t>2026-05-11</t>
        </is>
      </c>
      <c r="B133" s="13" t="n">
        <v>1020833.78</v>
      </c>
    </row>
    <row r="134">
      <c r="A134" s="10" t="inlineStr">
        <is>
          <t>2026-05-12</t>
        </is>
      </c>
      <c r="B134" s="4" t="n">
        <v>1015397.17</v>
      </c>
    </row>
    <row r="135">
      <c r="A135" s="12" t="inlineStr">
        <is>
          <t>2026-05-13</t>
        </is>
      </c>
      <c r="B135" s="13" t="n">
        <v>1000220.72</v>
      </c>
    </row>
    <row r="136">
      <c r="A136" s="10" t="inlineStr">
        <is>
          <t>2026-05-14</t>
        </is>
      </c>
      <c r="B136" s="4" t="n">
        <v>1012691.67</v>
      </c>
    </row>
    <row r="137">
      <c r="A137" s="12" t="inlineStr">
        <is>
          <t>2026-05-15</t>
        </is>
      </c>
      <c r="B137" s="13" t="n">
        <v>1015930.72</v>
      </c>
    </row>
    <row r="138">
      <c r="A138" s="10" t="inlineStr">
        <is>
          <t>2026-05-18</t>
        </is>
      </c>
      <c r="B138" s="4" t="n">
        <v>1013261.58</v>
      </c>
    </row>
    <row r="139">
      <c r="A139" s="12" t="inlineStr">
        <is>
          <t>2026-05-19</t>
        </is>
      </c>
      <c r="B139" s="13" t="n">
        <v>999652.0600000001</v>
      </c>
    </row>
    <row r="140">
      <c r="A140" s="10" t="inlineStr">
        <is>
          <t>2026-05-20</t>
        </is>
      </c>
      <c r="B140" s="4" t="n">
        <v>1015131.18</v>
      </c>
    </row>
    <row r="141">
      <c r="A141" s="12" t="inlineStr">
        <is>
          <t>2026-05-21</t>
        </is>
      </c>
      <c r="B141" s="13" t="n">
        <v>1024386.46</v>
      </c>
    </row>
    <row r="142">
      <c r="A142" s="10" t="inlineStr">
        <is>
          <t>2026-05-22</t>
        </is>
      </c>
      <c r="B142" s="4" t="n">
        <v>1024338.81</v>
      </c>
    </row>
    <row r="143">
      <c r="A143" s="12" t="inlineStr">
        <is>
          <t>2026-05-25</t>
        </is>
      </c>
      <c r="B143" s="13" t="n">
        <v>998140.79</v>
      </c>
    </row>
    <row r="144">
      <c r="A144" s="10" t="inlineStr">
        <is>
          <t>2026-05-26</t>
        </is>
      </c>
      <c r="B144" s="4" t="n">
        <v>1016941.72</v>
      </c>
    </row>
    <row r="145">
      <c r="A145" s="12" t="inlineStr">
        <is>
          <t>2026-05-27</t>
        </is>
      </c>
      <c r="B145" s="13" t="n">
        <v>998648.59</v>
      </c>
    </row>
    <row r="146">
      <c r="A146" s="10" t="inlineStr">
        <is>
          <t>2026-05-28</t>
        </is>
      </c>
      <c r="B146" s="4" t="n">
        <v>992706.98</v>
      </c>
    </row>
    <row r="147">
      <c r="A147" s="12" t="inlineStr">
        <is>
          <t>2026-05-29</t>
        </is>
      </c>
      <c r="B147" s="13" t="n">
        <v>990830.28</v>
      </c>
    </row>
    <row r="148">
      <c r="A148" s="10" t="inlineStr">
        <is>
          <t>2026-06-01</t>
        </is>
      </c>
      <c r="B148" s="4" t="n">
        <v>1006084.4</v>
      </c>
    </row>
    <row r="149">
      <c r="A149" s="12" t="inlineStr">
        <is>
          <t>2026-06-02</t>
        </is>
      </c>
      <c r="B149" s="13" t="n">
        <v>1098049.24</v>
      </c>
    </row>
    <row r="150">
      <c r="A150" s="10" t="inlineStr">
        <is>
          <t>2026-06-03</t>
        </is>
      </c>
      <c r="B150" s="4" t="n">
        <v>1106587.27</v>
      </c>
    </row>
    <row r="151">
      <c r="A151" s="12" t="inlineStr">
        <is>
          <t>2026-06-04</t>
        </is>
      </c>
      <c r="B151" s="13" t="n">
        <v>1109658.57</v>
      </c>
    </row>
    <row r="152">
      <c r="A152" s="10" t="inlineStr">
        <is>
          <t>2026-06-05</t>
        </is>
      </c>
      <c r="B152" s="4" t="n">
        <v>1007955.93</v>
      </c>
    </row>
    <row r="153">
      <c r="A153" s="12" t="inlineStr">
        <is>
          <t>2026-06-08</t>
        </is>
      </c>
      <c r="B153" s="13" t="n">
        <v>1062741.93</v>
      </c>
    </row>
    <row r="154">
      <c r="A154" s="10" t="inlineStr">
        <is>
          <t>2026-06-09</t>
        </is>
      </c>
      <c r="B154" s="4" t="n">
        <v>1054805.1</v>
      </c>
    </row>
    <row r="155">
      <c r="A155" s="12" t="inlineStr">
        <is>
          <t>2026-06-10</t>
        </is>
      </c>
      <c r="B155" s="13" t="n">
        <v>1053613.45</v>
      </c>
    </row>
    <row r="156">
      <c r="A156" s="10" t="inlineStr">
        <is>
          <t>2026-06-11</t>
        </is>
      </c>
      <c r="B156" s="4" t="n">
        <v>1132525.76</v>
      </c>
    </row>
    <row r="157">
      <c r="A157" s="12" t="inlineStr">
        <is>
          <t>2026-06-12</t>
        </is>
      </c>
      <c r="B157" s="13" t="n">
        <v>1144545.38</v>
      </c>
    </row>
    <row r="158">
      <c r="A158" s="10" t="inlineStr">
        <is>
          <t>2026-06-15</t>
        </is>
      </c>
      <c r="B158" s="4" t="n">
        <v>1145114.46</v>
      </c>
    </row>
    <row r="159">
      <c r="A159" s="12" t="inlineStr">
        <is>
          <t>2026-06-16</t>
        </is>
      </c>
      <c r="B159" s="13" t="n">
        <v>1113210.04</v>
      </c>
    </row>
    <row r="160">
      <c r="A160" s="10" t="inlineStr">
        <is>
          <t>2026-06-17</t>
        </is>
      </c>
      <c r="B160" s="4" t="n">
        <v>1123132.98</v>
      </c>
    </row>
    <row r="161">
      <c r="A161" s="12" t="inlineStr">
        <is>
          <t>2026-06-18</t>
        </is>
      </c>
      <c r="B161" s="13" t="n">
        <v>1139719.66</v>
      </c>
    </row>
    <row r="162">
      <c r="A162" s="10" t="inlineStr">
        <is>
          <t>2026-06-19</t>
        </is>
      </c>
      <c r="B162" s="4" t="n">
        <v>1097936.78</v>
      </c>
    </row>
    <row r="163">
      <c r="A163" s="12" t="inlineStr">
        <is>
          <t>2026-06-22</t>
        </is>
      </c>
      <c r="B163" s="13" t="n">
        <v>1155543.93</v>
      </c>
    </row>
    <row r="164">
      <c r="A164" s="10" t="inlineStr">
        <is>
          <t>2026-06-23</t>
        </is>
      </c>
      <c r="B164" s="4" t="n">
        <v>1132778.41</v>
      </c>
    </row>
    <row r="165">
      <c r="A165" s="12" t="inlineStr">
        <is>
          <t>2026-06-24</t>
        </is>
      </c>
      <c r="B165" s="13" t="n">
        <v>1103902.44</v>
      </c>
    </row>
    <row r="166">
      <c r="A166" s="10" t="inlineStr">
        <is>
          <t>2026-06-25</t>
        </is>
      </c>
      <c r="B166" s="4" t="n">
        <v>1122802.52</v>
      </c>
    </row>
    <row r="167">
      <c r="A167" s="12" t="inlineStr">
        <is>
          <t>2026-06-26</t>
        </is>
      </c>
      <c r="B167" s="13" t="n">
        <v>1134385.5</v>
      </c>
    </row>
    <row r="168">
      <c r="A168" s="10" t="inlineStr">
        <is>
          <t>2026-06-29</t>
        </is>
      </c>
      <c r="B168" s="4" t="n">
        <v>1197993.05</v>
      </c>
    </row>
    <row r="169">
      <c r="A169" s="12" t="inlineStr">
        <is>
          <t>2026-06-30</t>
        </is>
      </c>
      <c r="B169" s="13" t="n">
        <v>1202667.41</v>
      </c>
    </row>
    <row r="170">
      <c r="A170" s="10" t="inlineStr">
        <is>
          <t>2026-07-01</t>
        </is>
      </c>
      <c r="B170" s="4" t="n">
        <v>1112944.14</v>
      </c>
    </row>
    <row r="171">
      <c r="A171" s="12" t="inlineStr">
        <is>
          <t>2026-07-02</t>
        </is>
      </c>
      <c r="B171" s="13" t="n">
        <v>1055086.84</v>
      </c>
    </row>
    <row r="172">
      <c r="A172" s="10" t="inlineStr">
        <is>
          <t>2026-07-03</t>
        </is>
      </c>
      <c r="B172" s="4" t="n">
        <v>1083686.97</v>
      </c>
    </row>
    <row r="173">
      <c r="A173" s="12" t="inlineStr">
        <is>
          <t>2026-07-06</t>
        </is>
      </c>
      <c r="B173" s="13" t="n">
        <v>1046165.58</v>
      </c>
    </row>
    <row r="174">
      <c r="A174" s="10" t="inlineStr">
        <is>
          <t>2026-07-07</t>
        </is>
      </c>
      <c r="B174" s="4" t="n">
        <v>1044409.17</v>
      </c>
    </row>
    <row r="175">
      <c r="A175" s="12" t="inlineStr">
        <is>
          <t>2026-07-08</t>
        </is>
      </c>
      <c r="B175" s="13" t="n">
        <v>1028517.64</v>
      </c>
    </row>
    <row r="176">
      <c r="A176" s="10" t="inlineStr">
        <is>
          <t>2026-07-09</t>
        </is>
      </c>
      <c r="B176" s="4" t="n">
        <v>1038383.56</v>
      </c>
    </row>
    <row r="177">
      <c r="A177" s="12" t="inlineStr">
        <is>
          <t>2026-07-10</t>
        </is>
      </c>
      <c r="B177" s="13" t="n">
        <v>1036333.72</v>
      </c>
    </row>
    <row r="178">
      <c r="A178" s="10" t="inlineStr">
        <is>
          <t>2026-07-13</t>
        </is>
      </c>
      <c r="B178" s="4" t="n">
        <v>1032525.62</v>
      </c>
    </row>
    <row r="179">
      <c r="A179" s="12" t="inlineStr">
        <is>
          <t>2026-07-14</t>
        </is>
      </c>
      <c r="B179" s="13" t="n">
        <v>1039352.25</v>
      </c>
    </row>
    <row r="180">
      <c r="A180" s="10" t="inlineStr">
        <is>
          <t>2026-07-15</t>
        </is>
      </c>
      <c r="B180" s="4" t="n">
        <v>1045083.7</v>
      </c>
    </row>
    <row r="181">
      <c r="A181" s="12" t="inlineStr">
        <is>
          <t>2026-07-16</t>
        </is>
      </c>
      <c r="B181" s="13" t="n">
        <v>1028589.83</v>
      </c>
    </row>
    <row r="182">
      <c r="A182" s="10" t="inlineStr">
        <is>
          <t>2026-07-17</t>
        </is>
      </c>
      <c r="B182" s="4" t="n">
        <v>1029219.45</v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2" customWidth="1" min="7" max="7"/>
    <col width="11" customWidth="1" min="8" max="8"/>
    <col width="10" customWidth="1" min="9" max="9"/>
    <col width="10" customWidth="1" min="10" max="10"/>
    <col width="7" customWidth="1" min="11" max="11"/>
  </cols>
  <sheetData>
    <row r="1">
      <c r="A1" s="1" t="inlineStr">
        <is>
          <t>EXPOSURE &amp; LEVERAGE — 敞口与杠杆</t>
        </is>
      </c>
    </row>
    <row r="3">
      <c r="A3" s="9" t="inlineStr">
        <is>
          <t>Scope</t>
        </is>
      </c>
      <c r="B3" s="9" t="inlineStr">
        <is>
          <t>Capital ($)</t>
        </is>
      </c>
      <c r="C3" s="9" t="inlineStr">
        <is>
          <t>Long ($)</t>
        </is>
      </c>
      <c r="D3" s="9" t="inlineStr">
        <is>
          <t>Short ($)</t>
        </is>
      </c>
      <c r="E3" s="9" t="inlineStr">
        <is>
          <t>Gross ($)</t>
        </is>
      </c>
      <c r="F3" s="9" t="inlineStr">
        <is>
          <t>Net ($)</t>
        </is>
      </c>
      <c r="G3" s="9" t="inlineStr">
        <is>
          <t>Gross Lev (x)</t>
        </is>
      </c>
      <c r="H3" s="9" t="inlineStr">
        <is>
          <t>Net Lev (x)</t>
        </is>
      </c>
      <c r="I3" s="9" t="inlineStr">
        <is>
          <t>Deploy %</t>
        </is>
      </c>
      <c r="J3" s="9" t="inlineStr">
        <is>
          <t>Margin %</t>
        </is>
      </c>
      <c r="K3" s="9" t="inlineStr">
        <is>
          <t>Pairs</t>
        </is>
      </c>
    </row>
    <row r="4">
      <c r="A4" s="10" t="inlineStr">
        <is>
          <t>COMBINED</t>
        </is>
      </c>
      <c r="B4" s="4" t="n">
        <v>1029219.45</v>
      </c>
      <c r="C4" s="4" t="n">
        <v>1117704.42</v>
      </c>
      <c r="D4" s="4" t="n">
        <v>740203.11</v>
      </c>
      <c r="E4" s="4" t="n">
        <v>1857907.53</v>
      </c>
      <c r="F4" s="4" t="n">
        <v>377501.31</v>
      </c>
      <c r="G4" s="5" t="n">
        <v>1.805</v>
      </c>
      <c r="H4" s="5" t="n">
        <v>0.367</v>
      </c>
      <c r="I4" s="5" t="n">
        <v>180.52</v>
      </c>
      <c r="J4" s="5" t="n">
        <v>90.26000000000001</v>
      </c>
      <c r="K4" s="24" t="n">
        <v>10</v>
      </c>
    </row>
    <row r="5">
      <c r="A5" s="12" t="inlineStr">
        <is>
          <t>MRPT</t>
        </is>
      </c>
      <c r="B5" s="13" t="n">
        <v>579788</v>
      </c>
      <c r="C5" s="13" t="n">
        <v>217376.16</v>
      </c>
      <c r="D5" s="13" t="n">
        <v>219781.28</v>
      </c>
      <c r="E5" s="13" t="n">
        <v>437157.44</v>
      </c>
      <c r="F5" s="19" t="n">
        <v>-2405.12</v>
      </c>
      <c r="G5" s="25" t="n">
        <v>0.754</v>
      </c>
      <c r="H5" s="25" t="n">
        <v>-0.004</v>
      </c>
      <c r="I5" s="25" t="n">
        <v>75.40000000000001</v>
      </c>
      <c r="J5" s="25" t="n">
        <v>37.7</v>
      </c>
      <c r="K5" s="26" t="n">
        <v>2</v>
      </c>
    </row>
    <row r="6">
      <c r="A6" s="10" t="inlineStr">
        <is>
          <t>MTFS</t>
        </is>
      </c>
      <c r="B6" s="4" t="n">
        <v>449431.44</v>
      </c>
      <c r="C6" s="4" t="n">
        <v>900328.26</v>
      </c>
      <c r="D6" s="4" t="n">
        <v>520421.83</v>
      </c>
      <c r="E6" s="4" t="n">
        <v>1420750.09</v>
      </c>
      <c r="F6" s="4" t="n">
        <v>379906.43</v>
      </c>
      <c r="G6" s="5" t="n">
        <v>3.161</v>
      </c>
      <c r="H6" s="5" t="n">
        <v>0.845</v>
      </c>
      <c r="I6" s="5" t="n">
        <v>316.12</v>
      </c>
      <c r="J6" s="5" t="n">
        <v>158.06</v>
      </c>
      <c r="K6" s="24" t="n">
        <v>8</v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2" customWidth="1" min="4" max="4"/>
    <col width="12" customWidth="1" min="5" max="5"/>
    <col width="8" customWidth="1" min="6" max="6"/>
  </cols>
  <sheetData>
    <row r="1">
      <c r="A1" s="1" t="inlineStr">
        <is>
          <t>CONCENTRATION — 集中度 (single-name / sector / HHI)</t>
        </is>
      </c>
    </row>
    <row r="3">
      <c r="A3" s="27" t="inlineStr">
        <is>
          <t>HHI=0.105  ·  effective N pairs=9.5  ·  max pair=14.06% of gross</t>
        </is>
      </c>
    </row>
    <row r="5">
      <c r="A5" s="9" t="inlineStr">
        <is>
          <t>Ticker</t>
        </is>
      </c>
      <c r="B5" s="9" t="inlineStr">
        <is>
          <t>Gross ($)</t>
        </is>
      </c>
      <c r="C5" s="9" t="inlineStr">
        <is>
          <t>Net ($)</t>
        </is>
      </c>
      <c r="D5" s="9" t="inlineStr">
        <is>
          <t>% of NAV</t>
        </is>
      </c>
      <c r="E5" s="9" t="inlineStr">
        <is>
          <t>% of Gross</t>
        </is>
      </c>
      <c r="F5" s="9" t="inlineStr">
        <is>
          <t>N Pairs</t>
        </is>
      </c>
    </row>
    <row r="6">
      <c r="A6" s="10" t="inlineStr">
        <is>
          <t>JBHT</t>
        </is>
      </c>
      <c r="B6" s="4" t="n">
        <v>359599.94</v>
      </c>
      <c r="C6" s="4" t="n">
        <v>359599.94</v>
      </c>
      <c r="D6" s="22" t="n">
        <v>34.94</v>
      </c>
      <c r="E6" s="22" t="n">
        <v>19.36</v>
      </c>
      <c r="F6" s="24" t="n">
        <v>2</v>
      </c>
    </row>
    <row r="7">
      <c r="A7" s="12" t="inlineStr">
        <is>
          <t>BBY</t>
        </is>
      </c>
      <c r="B7" s="13" t="n">
        <v>232827.66</v>
      </c>
      <c r="C7" s="13" t="n">
        <v>232827.66</v>
      </c>
      <c r="D7" s="20" t="n">
        <v>22.62</v>
      </c>
      <c r="E7" s="20" t="n">
        <v>12.53</v>
      </c>
      <c r="F7" s="26" t="n">
        <v>2</v>
      </c>
    </row>
    <row r="8">
      <c r="A8" s="10" t="inlineStr">
        <is>
          <t>HSY</t>
        </is>
      </c>
      <c r="B8" s="4" t="n">
        <v>153078.06</v>
      </c>
      <c r="C8" s="18" t="n">
        <v>-153078.06</v>
      </c>
      <c r="D8" s="22" t="n">
        <v>14.87</v>
      </c>
      <c r="E8" s="22" t="n">
        <v>8.24</v>
      </c>
      <c r="F8" s="24" t="n">
        <v>2</v>
      </c>
    </row>
    <row r="9">
      <c r="A9" s="12" t="inlineStr">
        <is>
          <t>AIG</t>
        </is>
      </c>
      <c r="B9" s="13" t="n">
        <v>131698</v>
      </c>
      <c r="C9" s="19" t="n">
        <v>-131698</v>
      </c>
      <c r="D9" s="20" t="n">
        <v>12.8</v>
      </c>
      <c r="E9" s="20" t="n">
        <v>7.09</v>
      </c>
      <c r="F9" s="26" t="n">
        <v>1</v>
      </c>
    </row>
    <row r="10">
      <c r="A10" s="10" t="inlineStr">
        <is>
          <t>CFG</t>
        </is>
      </c>
      <c r="B10" s="4" t="n">
        <v>129505.71</v>
      </c>
      <c r="C10" s="4" t="n">
        <v>129505.71</v>
      </c>
      <c r="D10" s="22" t="n">
        <v>12.58</v>
      </c>
      <c r="E10" s="22" t="n">
        <v>6.97</v>
      </c>
      <c r="F10" s="24" t="n">
        <v>1</v>
      </c>
    </row>
    <row r="11">
      <c r="A11" s="12" t="inlineStr">
        <is>
          <t>VLO</t>
        </is>
      </c>
      <c r="B11" s="13" t="n">
        <v>96610.8</v>
      </c>
      <c r="C11" s="13" t="n">
        <v>96610.8</v>
      </c>
      <c r="D11" s="20" t="n">
        <v>9.390000000000001</v>
      </c>
      <c r="E11" s="20" t="n">
        <v>5.2</v>
      </c>
      <c r="F11" s="26" t="n">
        <v>1</v>
      </c>
    </row>
    <row r="12">
      <c r="A12" s="10" t="inlineStr">
        <is>
          <t>LKQ</t>
        </is>
      </c>
      <c r="B12" s="4" t="n">
        <v>95885.64</v>
      </c>
      <c r="C12" s="18" t="n">
        <v>-95885.64</v>
      </c>
      <c r="D12" s="22" t="n">
        <v>9.32</v>
      </c>
      <c r="E12" s="22" t="n">
        <v>5.16</v>
      </c>
      <c r="F12" s="24" t="n">
        <v>2</v>
      </c>
    </row>
    <row r="13">
      <c r="A13" s="12" t="inlineStr">
        <is>
          <t>ANET</t>
        </is>
      </c>
      <c r="B13" s="13" t="n">
        <v>89700.52</v>
      </c>
      <c r="C13" s="13" t="n">
        <v>89700.52</v>
      </c>
      <c r="D13" s="20" t="n">
        <v>8.720000000000001</v>
      </c>
      <c r="E13" s="20" t="n">
        <v>4.83</v>
      </c>
      <c r="F13" s="26" t="n">
        <v>1</v>
      </c>
    </row>
    <row r="14">
      <c r="A14" s="10" t="inlineStr">
        <is>
          <t>HCA</t>
        </is>
      </c>
      <c r="B14" s="4" t="n">
        <v>89454.38</v>
      </c>
      <c r="C14" s="18" t="n">
        <v>-89454.38</v>
      </c>
      <c r="D14" s="22" t="n">
        <v>8.69</v>
      </c>
      <c r="E14" s="22" t="n">
        <v>4.81</v>
      </c>
      <c r="F14" s="24" t="n">
        <v>1</v>
      </c>
    </row>
    <row r="15">
      <c r="A15" s="12" t="inlineStr">
        <is>
          <t>HIG</t>
        </is>
      </c>
      <c r="B15" s="13" t="n">
        <v>88083.28</v>
      </c>
      <c r="C15" s="19" t="n">
        <v>-88083.28</v>
      </c>
      <c r="D15" s="20" t="n">
        <v>8.56</v>
      </c>
      <c r="E15" s="20" t="n">
        <v>4.74</v>
      </c>
      <c r="F15" s="26" t="n">
        <v>1</v>
      </c>
    </row>
    <row r="18">
      <c r="A18" s="28" t="inlineStr">
        <is>
          <t>SECTOR NET EXPOSURE</t>
        </is>
      </c>
    </row>
    <row r="19">
      <c r="A19" s="9" t="inlineStr">
        <is>
          <t>Sector</t>
        </is>
      </c>
      <c r="B19" s="9" t="inlineStr">
        <is>
          <t>Long</t>
        </is>
      </c>
      <c r="C19" s="9" t="inlineStr">
        <is>
          <t>Short</t>
        </is>
      </c>
      <c r="D19" s="9" t="inlineStr">
        <is>
          <t>Net</t>
        </is>
      </c>
      <c r="E19" s="9" t="inlineStr">
        <is>
          <t>Net % of Gross</t>
        </is>
      </c>
    </row>
    <row r="20">
      <c r="A20" s="10" t="inlineStr">
        <is>
          <t>industrial</t>
        </is>
      </c>
      <c r="B20" s="4" t="n">
        <v>359599.94</v>
      </c>
      <c r="C20" s="4" t="n">
        <v>60285.12</v>
      </c>
      <c r="D20" s="4" t="n">
        <v>299314.82</v>
      </c>
      <c r="E20" s="7" t="n">
        <v>16.11</v>
      </c>
    </row>
    <row r="21">
      <c r="A21" s="12" t="inlineStr">
        <is>
          <t>energy</t>
        </is>
      </c>
      <c r="B21" s="13" t="n">
        <v>157427.64</v>
      </c>
      <c r="C21" s="15" t="n">
        <v>0</v>
      </c>
      <c r="D21" s="13" t="n">
        <v>157427.64</v>
      </c>
      <c r="E21" s="17" t="n">
        <v>8.470000000000001</v>
      </c>
    </row>
    <row r="22">
      <c r="A22" s="10" t="inlineStr">
        <is>
          <t>other</t>
        </is>
      </c>
      <c r="B22" s="11" t="n">
        <v>0</v>
      </c>
      <c r="C22" s="4" t="n">
        <v>95885.64</v>
      </c>
      <c r="D22" s="18" t="n">
        <v>-95885.64</v>
      </c>
      <c r="E22" s="7" t="n">
        <v>-5.16</v>
      </c>
    </row>
    <row r="23">
      <c r="A23" s="12" t="inlineStr">
        <is>
          <t>tech</t>
        </is>
      </c>
      <c r="B23" s="13" t="n">
        <v>89700.52</v>
      </c>
      <c r="C23" s="15" t="n">
        <v>0</v>
      </c>
      <c r="D23" s="13" t="n">
        <v>89700.52</v>
      </c>
      <c r="E23" s="17" t="n">
        <v>4.83</v>
      </c>
    </row>
    <row r="24">
      <c r="A24" s="10" t="inlineStr">
        <is>
          <t>health</t>
        </is>
      </c>
      <c r="B24" s="11" t="n">
        <v>0</v>
      </c>
      <c r="C24" s="4" t="n">
        <v>89454.38</v>
      </c>
      <c r="D24" s="18" t="n">
        <v>-89454.38</v>
      </c>
      <c r="E24" s="7" t="n">
        <v>-4.81</v>
      </c>
    </row>
    <row r="25">
      <c r="A25" s="12" t="inlineStr">
        <is>
          <t>finance</t>
        </is>
      </c>
      <c r="B25" s="13" t="n">
        <v>278148.66</v>
      </c>
      <c r="C25" s="13" t="n">
        <v>219781.28</v>
      </c>
      <c r="D25" s="13" t="n">
        <v>58367.38</v>
      </c>
      <c r="E25" s="17" t="n">
        <v>3.14</v>
      </c>
    </row>
    <row r="26">
      <c r="A26" s="10" t="inlineStr">
        <is>
          <t>food</t>
        </is>
      </c>
      <c r="B26" s="4" t="n">
        <v>232827.66</v>
      </c>
      <c r="C26" s="4" t="n">
        <v>274796.69</v>
      </c>
      <c r="D26" s="18" t="n">
        <v>-41969.03</v>
      </c>
      <c r="E26" s="7" t="n">
        <v>-2.26</v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</cols>
  <sheetData>
    <row r="1">
      <c r="A1" s="1" t="inlineStr">
        <is>
          <t>FACTOR &amp; BETA — 因子与市场 Beta</t>
        </is>
      </c>
    </row>
    <row r="3">
      <c r="A3" s="3" t="inlineStr">
        <is>
          <t>Net market beta (target≈0)</t>
        </is>
      </c>
      <c r="B3" s="6" t="n">
        <v>0.61</v>
      </c>
    </row>
    <row r="4">
      <c r="A4" s="3" t="inlineStr">
        <is>
          <t>Gross beta</t>
        </is>
      </c>
      <c r="B4" s="5" t="n">
        <v>1.078</v>
      </c>
    </row>
    <row r="5">
      <c r="A5" s="3" t="inlineStr">
        <is>
          <t>Momentum factor net (% NAV)</t>
        </is>
      </c>
      <c r="B5" s="5" t="n">
        <v>36.91</v>
      </c>
    </row>
    <row r="6">
      <c r="A6" s="3" t="inlineStr">
        <is>
          <t>Beta data insufficient</t>
        </is>
      </c>
      <c r="B6" s="7" t="inlineStr">
        <is>
          <t>—</t>
        </is>
      </c>
    </row>
    <row r="8">
      <c r="A8" s="28" t="inlineStr">
        <is>
          <t>SECTOR NET VECTOR (% of gross)</t>
        </is>
      </c>
    </row>
    <row r="9">
      <c r="A9" s="9" t="inlineStr">
        <is>
          <t>Sector</t>
        </is>
      </c>
      <c r="B9" s="9" t="inlineStr">
        <is>
          <t>Net % of Gross</t>
        </is>
      </c>
    </row>
    <row r="10">
      <c r="A10" s="10" t="inlineStr">
        <is>
          <t>industrial</t>
        </is>
      </c>
      <c r="B10" s="22" t="n">
        <v>16.11</v>
      </c>
    </row>
    <row r="11">
      <c r="A11" s="12" t="inlineStr">
        <is>
          <t>energy</t>
        </is>
      </c>
      <c r="B11" s="20" t="n">
        <v>8.470000000000001</v>
      </c>
    </row>
    <row r="12">
      <c r="A12" s="10" t="inlineStr">
        <is>
          <t>other</t>
        </is>
      </c>
      <c r="B12" s="23" t="n">
        <v>-5.16</v>
      </c>
    </row>
    <row r="13">
      <c r="A13" s="12" t="inlineStr">
        <is>
          <t>tech</t>
        </is>
      </c>
      <c r="B13" s="20" t="n">
        <v>4.83</v>
      </c>
    </row>
    <row r="14">
      <c r="A14" s="10" t="inlineStr">
        <is>
          <t>health</t>
        </is>
      </c>
      <c r="B14" s="23" t="n">
        <v>-4.81</v>
      </c>
    </row>
    <row r="15">
      <c r="A15" s="12" t="inlineStr">
        <is>
          <t>finance</t>
        </is>
      </c>
      <c r="B15" s="20" t="n">
        <v>3.14</v>
      </c>
    </row>
    <row r="16">
      <c r="A16" s="10" t="inlineStr">
        <is>
          <t>food</t>
        </is>
      </c>
      <c r="B16" s="23" t="n">
        <v>-2.26</v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14" customWidth="1" min="3" max="3"/>
  </cols>
  <sheetData>
    <row r="1">
      <c r="A1" s="1" t="inlineStr">
        <is>
          <t>VALUE AT RISK &amp; VOLATILITY</t>
        </is>
      </c>
    </row>
    <row r="3">
      <c r="A3" s="3" t="inlineStr">
        <is>
          <t>Parametric VaR 95% 1d ($)</t>
        </is>
      </c>
      <c r="B3" s="4" t="n">
        <v>22242.33</v>
      </c>
    </row>
    <row r="4">
      <c r="A4" s="3" t="inlineStr">
        <is>
          <t>Parametric VaR 99% 1d ($)</t>
        </is>
      </c>
      <c r="B4" s="4" t="n">
        <v>31450.25</v>
      </c>
    </row>
    <row r="5">
      <c r="A5" s="3" t="inlineStr">
        <is>
          <t>Annual vol ($)</t>
        </is>
      </c>
      <c r="B5" s="4" t="n">
        <v>214641.98</v>
      </c>
    </row>
    <row r="6">
      <c r="A6" s="3" t="inlineStr">
        <is>
          <t>Annual vol (% NAV)</t>
        </is>
      </c>
      <c r="B6" s="5" t="n">
        <v>20.85</v>
      </c>
    </row>
    <row r="7">
      <c r="A7" s="3" t="inlineStr">
        <is>
          <t>Historical VaR 95% 1d ($)</t>
        </is>
      </c>
      <c r="B7" s="4" t="n">
        <v>13176.89</v>
      </c>
    </row>
    <row r="8">
      <c r="A8" s="3" t="inlineStr">
        <is>
          <t>Historical CVaR 95% 1d ($)</t>
        </is>
      </c>
      <c r="B8" s="4" t="n">
        <v>19755.17</v>
      </c>
    </row>
    <row r="10">
      <c r="A10" s="28" t="inlineStr">
        <is>
          <t>COMPONENT VaR (per pair, marginal)</t>
        </is>
      </c>
    </row>
    <row r="11">
      <c r="A11" s="9" t="inlineStr">
        <is>
          <t>Pair</t>
        </is>
      </c>
      <c r="B11" s="9" t="inlineStr">
        <is>
          <t>Component VaR 95 ($)</t>
        </is>
      </c>
      <c r="C11" s="9" t="inlineStr">
        <is>
          <t>% of total</t>
        </is>
      </c>
    </row>
    <row r="12">
      <c r="A12" s="10" t="inlineStr">
        <is>
          <t>JBHT/PEP</t>
        </is>
      </c>
      <c r="B12" s="4" t="n">
        <v>4048.75</v>
      </c>
      <c r="C12" s="7" t="n">
        <v>18.2</v>
      </c>
    </row>
    <row r="13">
      <c r="A13" s="12" t="inlineStr">
        <is>
          <t>JBHT/LKQ</t>
        </is>
      </c>
      <c r="B13" s="13" t="n">
        <v>3521.01</v>
      </c>
      <c r="C13" s="17" t="n">
        <v>15.83</v>
      </c>
    </row>
    <row r="14">
      <c r="A14" s="10" t="inlineStr">
        <is>
          <t>ANET/LKQ</t>
        </is>
      </c>
      <c r="B14" s="4" t="n">
        <v>3101.85</v>
      </c>
      <c r="C14" s="7" t="n">
        <v>13.95</v>
      </c>
    </row>
    <row r="15">
      <c r="A15" s="12" t="inlineStr">
        <is>
          <t>BBY/HII</t>
        </is>
      </c>
      <c r="B15" s="13" t="n">
        <v>2918.86</v>
      </c>
      <c r="C15" s="17" t="n">
        <v>13.12</v>
      </c>
    </row>
    <row r="16">
      <c r="A16" s="10" t="inlineStr">
        <is>
          <t>BBY/HCA</t>
        </is>
      </c>
      <c r="B16" s="4" t="n">
        <v>2769.4</v>
      </c>
      <c r="C16" s="7" t="n">
        <v>12.45</v>
      </c>
    </row>
    <row r="17">
      <c r="A17" s="12" t="inlineStr">
        <is>
          <t>VLO/HSY</t>
        </is>
      </c>
      <c r="B17" s="13" t="n">
        <v>2643.96</v>
      </c>
      <c r="C17" s="17" t="n">
        <v>11.89</v>
      </c>
    </row>
    <row r="18">
      <c r="A18" s="10" t="inlineStr">
        <is>
          <t>STT/HSY</t>
        </is>
      </c>
      <c r="B18" s="4" t="n">
        <v>1228.74</v>
      </c>
      <c r="C18" s="7" t="n">
        <v>5.52</v>
      </c>
    </row>
    <row r="19">
      <c r="A19" s="12" t="inlineStr">
        <is>
          <t>AIG/CFG</t>
        </is>
      </c>
      <c r="B19" s="13" t="n">
        <v>1203.09</v>
      </c>
      <c r="C19" s="17" t="n">
        <v>5.41</v>
      </c>
    </row>
    <row r="20">
      <c r="A20" s="10" t="inlineStr">
        <is>
          <t>PSX/ORLY</t>
        </is>
      </c>
      <c r="B20" s="4" t="n">
        <v>657.26</v>
      </c>
      <c r="C20" s="7" t="n">
        <v>2.96</v>
      </c>
    </row>
    <row r="21">
      <c r="A21" s="12" t="inlineStr">
        <is>
          <t>ACGL/HIG</t>
        </is>
      </c>
      <c r="B21" s="13" t="n">
        <v>149.42</v>
      </c>
      <c r="C21" s="17" t="n">
        <v>0.67</v>
      </c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6" customWidth="1" min="4" max="4"/>
    <col width="16" customWidth="1" min="5" max="5"/>
  </cols>
  <sheetData>
    <row r="1">
      <c r="A1" s="1" t="inlineStr">
        <is>
          <t>LIQUIDITY — 流动性 (Almgren-Chriss days-to-liquidate)</t>
        </is>
      </c>
    </row>
    <row r="3">
      <c r="A3" s="27" t="inlineStr">
        <is>
          <t>Legs &gt; 1 trading day to liquidate: 0 (participation cap 20%)</t>
        </is>
      </c>
    </row>
    <row r="5">
      <c r="A5" s="9" t="inlineStr">
        <is>
          <t>Ticker</t>
        </is>
      </c>
      <c r="B5" s="9" t="inlineStr">
        <is>
          <t>Pair</t>
        </is>
      </c>
      <c r="C5" s="9" t="inlineStr">
        <is>
          <t>Shares</t>
        </is>
      </c>
      <c r="D5" s="9" t="inlineStr">
        <is>
          <t>ADV(20d)</t>
        </is>
      </c>
      <c r="E5" s="9" t="inlineStr">
        <is>
          <t>Days to liquidate</t>
        </is>
      </c>
    </row>
    <row r="6">
      <c r="A6" s="10" t="inlineStr">
        <is>
          <t>LKQ</t>
        </is>
      </c>
      <c r="B6" s="7" t="inlineStr">
        <is>
          <t>ANET/LKQ</t>
        </is>
      </c>
      <c r="C6" s="4" t="n">
        <v>3675</v>
      </c>
      <c r="D6" s="4" t="n">
        <v>2789076</v>
      </c>
      <c r="E6" s="7" t="n">
        <v>0.01</v>
      </c>
    </row>
    <row r="7">
      <c r="A7" s="12" t="inlineStr">
        <is>
          <t>AIG</t>
        </is>
      </c>
      <c r="B7" s="17" t="inlineStr">
        <is>
          <t>AIG/CFG</t>
        </is>
      </c>
      <c r="C7" s="13" t="n">
        <v>1636</v>
      </c>
      <c r="D7" s="13" t="n">
        <v>3920080</v>
      </c>
      <c r="E7" s="17" t="n">
        <v>0</v>
      </c>
    </row>
    <row r="8">
      <c r="A8" s="10" t="inlineStr">
        <is>
          <t>CFG</t>
        </is>
      </c>
      <c r="B8" s="7" t="inlineStr">
        <is>
          <t>AIG/CFG</t>
        </is>
      </c>
      <c r="C8" s="4" t="n">
        <v>1789</v>
      </c>
      <c r="D8" s="4" t="n">
        <v>5355789</v>
      </c>
      <c r="E8" s="7" t="n">
        <v>0</v>
      </c>
    </row>
    <row r="9">
      <c r="A9" s="12" t="inlineStr">
        <is>
          <t>ACGL</t>
        </is>
      </c>
      <c r="B9" s="17" t="inlineStr">
        <is>
          <t>ACGL/HIG</t>
        </is>
      </c>
      <c r="C9" s="13" t="n">
        <v>867</v>
      </c>
      <c r="D9" s="13" t="n">
        <v>2012254</v>
      </c>
      <c r="E9" s="17" t="n">
        <v>0</v>
      </c>
    </row>
    <row r="10">
      <c r="A10" s="10" t="inlineStr">
        <is>
          <t>HIG</t>
        </is>
      </c>
      <c r="B10" s="7" t="inlineStr">
        <is>
          <t>ACGL/HIG</t>
        </is>
      </c>
      <c r="C10" s="4" t="n">
        <v>628</v>
      </c>
      <c r="D10" s="4" t="n">
        <v>1763590</v>
      </c>
      <c r="E10" s="7" t="n">
        <v>0</v>
      </c>
    </row>
    <row r="11">
      <c r="A11" s="12" t="inlineStr">
        <is>
          <t>ANET</t>
        </is>
      </c>
      <c r="B11" s="17" t="inlineStr">
        <is>
          <t>ANET/LKQ</t>
        </is>
      </c>
      <c r="C11" s="13" t="n">
        <v>532</v>
      </c>
      <c r="D11" s="13" t="n">
        <v>8913680</v>
      </c>
      <c r="E11" s="17" t="n">
        <v>0</v>
      </c>
    </row>
    <row r="12">
      <c r="A12" s="10" t="inlineStr">
        <is>
          <t>BBY</t>
        </is>
      </c>
      <c r="B12" s="7" t="inlineStr">
        <is>
          <t>BBY/HCA</t>
        </is>
      </c>
      <c r="C12" s="4" t="n">
        <v>1075</v>
      </c>
      <c r="D12" s="4" t="n">
        <v>4021357</v>
      </c>
      <c r="E12" s="7" t="n">
        <v>0</v>
      </c>
    </row>
    <row r="13">
      <c r="A13" s="12" t="inlineStr">
        <is>
          <t>HCA</t>
        </is>
      </c>
      <c r="B13" s="17" t="inlineStr">
        <is>
          <t>BBY/HCA</t>
        </is>
      </c>
      <c r="C13" s="13" t="n">
        <v>241</v>
      </c>
      <c r="D13" s="13" t="n">
        <v>1727736</v>
      </c>
      <c r="E13" s="17" t="n">
        <v>0</v>
      </c>
    </row>
    <row r="14">
      <c r="A14" s="10" t="inlineStr">
        <is>
          <t>VLO</t>
        </is>
      </c>
      <c r="B14" s="7" t="inlineStr">
        <is>
          <t>VLO/HSY</t>
        </is>
      </c>
      <c r="C14" s="4" t="n">
        <v>312</v>
      </c>
      <c r="D14" s="4" t="n">
        <v>3360458</v>
      </c>
      <c r="E14" s="7" t="n">
        <v>0</v>
      </c>
    </row>
    <row r="15">
      <c r="A15" s="12" t="inlineStr">
        <is>
          <t>HSY</t>
        </is>
      </c>
      <c r="B15" s="17" t="inlineStr">
        <is>
          <t>VLO/HSY</t>
        </is>
      </c>
      <c r="C15" s="13" t="n">
        <v>538</v>
      </c>
      <c r="D15" s="13" t="n">
        <v>2201648</v>
      </c>
      <c r="E15" s="17" t="n">
        <v>0</v>
      </c>
    </row>
    <row r="16">
      <c r="A16" s="10" t="inlineStr">
        <is>
          <t>JBHT</t>
        </is>
      </c>
      <c r="B16" s="7" t="inlineStr">
        <is>
          <t>JBHT/LKQ</t>
        </is>
      </c>
      <c r="C16" s="4" t="n">
        <v>617</v>
      </c>
      <c r="D16" s="4" t="n">
        <v>1105182</v>
      </c>
      <c r="E16" s="7" t="n">
        <v>0</v>
      </c>
    </row>
    <row r="17">
      <c r="A17" s="12" t="inlineStr">
        <is>
          <t>LKQ</t>
        </is>
      </c>
      <c r="B17" s="17" t="inlineStr">
        <is>
          <t>JBHT/LKQ</t>
        </is>
      </c>
      <c r="C17" s="13" t="n">
        <v>103</v>
      </c>
      <c r="D17" s="13" t="n">
        <v>2789076</v>
      </c>
      <c r="E17" s="17" t="n">
        <v>0</v>
      </c>
    </row>
    <row r="18">
      <c r="A18" s="10" t="inlineStr">
        <is>
          <t>BBY</t>
        </is>
      </c>
      <c r="B18" s="7" t="inlineStr">
        <is>
          <t>BBY/HII</t>
        </is>
      </c>
      <c r="C18" s="4" t="n">
        <v>1651</v>
      </c>
      <c r="D18" s="4" t="n">
        <v>4021357</v>
      </c>
      <c r="E18" s="7" t="n">
        <v>0</v>
      </c>
    </row>
    <row r="19">
      <c r="A19" s="12" t="inlineStr">
        <is>
          <t>HII</t>
        </is>
      </c>
      <c r="B19" s="17" t="inlineStr">
        <is>
          <t>BBY/HII</t>
        </is>
      </c>
      <c r="C19" s="13" t="n">
        <v>224</v>
      </c>
      <c r="D19" s="13" t="n">
        <v>481518</v>
      </c>
      <c r="E19" s="17" t="n">
        <v>0</v>
      </c>
    </row>
    <row r="20">
      <c r="A20" s="10" t="inlineStr">
        <is>
          <t>STT</t>
        </is>
      </c>
      <c r="B20" s="7" t="inlineStr">
        <is>
          <t>STT/HSY</t>
        </is>
      </c>
      <c r="C20" s="4" t="n">
        <v>333</v>
      </c>
      <c r="D20" s="4" t="n">
        <v>2979500</v>
      </c>
      <c r="E20" s="7" t="n">
        <v>0</v>
      </c>
    </row>
  </sheetData>
  <mergeCells count="1"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6" customWidth="1" min="3" max="3"/>
  </cols>
  <sheetData>
    <row r="1">
      <c r="A1" s="1" t="inlineStr">
        <is>
          <t>STRESS / SCENARIO — beta-implied PnL</t>
        </is>
      </c>
    </row>
    <row r="3">
      <c r="A3" s="9" t="inlineStr">
        <is>
          <t>Scenario</t>
        </is>
      </c>
      <c r="B3" s="9" t="inlineStr">
        <is>
          <t>Est PnL ($)</t>
        </is>
      </c>
      <c r="C3" s="9" t="inlineStr">
        <is>
          <t>Est PnL (% NAV)</t>
        </is>
      </c>
    </row>
    <row r="4">
      <c r="A4" s="10" t="inlineStr">
        <is>
          <t>SPY -5%</t>
        </is>
      </c>
      <c r="B4" s="18" t="n">
        <v>-31391.19</v>
      </c>
      <c r="C4" s="23" t="n">
        <v>-3.05</v>
      </c>
    </row>
    <row r="5">
      <c r="A5" s="12" t="inlineStr">
        <is>
          <t>SPY -10%</t>
        </is>
      </c>
      <c r="B5" s="19" t="n">
        <v>-62782.39</v>
      </c>
      <c r="C5" s="21" t="n">
        <v>-6.1</v>
      </c>
    </row>
    <row r="6">
      <c r="A6" s="10" t="inlineStr">
        <is>
          <t>VIX +10pt</t>
        </is>
      </c>
      <c r="B6" s="18" t="n">
        <v>-31391.19</v>
      </c>
      <c r="C6" s="23" t="n">
        <v>-3.05</v>
      </c>
    </row>
    <row r="7">
      <c r="A7" s="12" t="inlineStr">
        <is>
          <t>Top sector -10%</t>
        </is>
      </c>
      <c r="B7" s="19" t="n">
        <v>-29931.48</v>
      </c>
      <c r="C7" s="21" t="n">
        <v>-2.91</v>
      </c>
    </row>
  </sheetData>
  <mergeCells count="1">
    <mergeCell ref="A1:C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LIMIT MONITOR — 限额监控 (shared thresholds w/ DailySignal gates)</t>
        </is>
      </c>
    </row>
    <row r="3">
      <c r="A3" s="9" t="inlineStr">
        <is>
          <t>Limit</t>
        </is>
      </c>
      <c r="B3" s="9" t="inlineStr">
        <is>
          <t>Scope</t>
        </is>
      </c>
      <c r="C3" s="9" t="inlineStr">
        <is>
          <t>Value</t>
        </is>
      </c>
      <c r="D3" s="9" t="inlineStr">
        <is>
          <t>Amber</t>
        </is>
      </c>
      <c r="E3" s="9" t="inlineStr">
        <is>
          <t>Red</t>
        </is>
      </c>
      <c r="F3" s="9" t="inlineStr">
        <is>
          <t>Status</t>
        </is>
      </c>
    </row>
    <row r="4">
      <c r="A4" s="29" t="inlineStr">
        <is>
          <t>gross_leverage</t>
        </is>
      </c>
      <c r="B4" s="30" t="inlineStr">
        <is>
          <t>mrpt</t>
        </is>
      </c>
      <c r="C4" s="30" t="n">
        <v>0.75</v>
      </c>
      <c r="D4" s="30" t="n">
        <v>5.5</v>
      </c>
      <c r="E4" s="30" t="n">
        <v>8</v>
      </c>
      <c r="F4" s="30" t="inlineStr">
        <is>
          <t>green</t>
        </is>
      </c>
    </row>
    <row r="5">
      <c r="A5" s="29" t="inlineStr">
        <is>
          <t>net_leverage_abs</t>
        </is>
      </c>
      <c r="B5" s="30" t="inlineStr">
        <is>
          <t>mrpt</t>
        </is>
      </c>
      <c r="C5" s="30" t="n">
        <v>0</v>
      </c>
      <c r="D5" s="30" t="n">
        <v>2</v>
      </c>
      <c r="E5" s="30" t="n">
        <v>3</v>
      </c>
      <c r="F5" s="30" t="inlineStr">
        <is>
          <t>green</t>
        </is>
      </c>
    </row>
    <row r="6">
      <c r="A6" s="29" t="inlineStr">
        <is>
          <t>gross_leverage</t>
        </is>
      </c>
      <c r="B6" s="30" t="inlineStr">
        <is>
          <t>mtfs</t>
        </is>
      </c>
      <c r="C6" s="30" t="n">
        <v>3.16</v>
      </c>
      <c r="D6" s="30" t="n">
        <v>5.5</v>
      </c>
      <c r="E6" s="30" t="n">
        <v>8</v>
      </c>
      <c r="F6" s="30" t="inlineStr">
        <is>
          <t>green</t>
        </is>
      </c>
    </row>
    <row r="7">
      <c r="A7" s="29" t="inlineStr">
        <is>
          <t>net_leverage_abs</t>
        </is>
      </c>
      <c r="B7" s="30" t="inlineStr">
        <is>
          <t>mtfs</t>
        </is>
      </c>
      <c r="C7" s="30" t="n">
        <v>0.84</v>
      </c>
      <c r="D7" s="30" t="n">
        <v>2</v>
      </c>
      <c r="E7" s="30" t="n">
        <v>3</v>
      </c>
      <c r="F7" s="30" t="inlineStr">
        <is>
          <t>green</t>
        </is>
      </c>
    </row>
    <row r="8">
      <c r="A8" s="31" t="inlineStr">
        <is>
          <t>single_name_gross</t>
        </is>
      </c>
      <c r="B8" s="32" t="inlineStr">
        <is>
          <t>JBHT</t>
        </is>
      </c>
      <c r="C8" s="32" t="n">
        <v>34.94</v>
      </c>
      <c r="D8" s="32" t="n">
        <v>30</v>
      </c>
      <c r="E8" s="32" t="n">
        <v>45</v>
      </c>
      <c r="F8" s="32" t="inlineStr">
        <is>
          <t>amber</t>
        </is>
      </c>
    </row>
    <row r="9">
      <c r="A9" s="29" t="inlineStr">
        <is>
          <t>single_name_gross</t>
        </is>
      </c>
      <c r="B9" s="30" t="inlineStr">
        <is>
          <t>BBY</t>
        </is>
      </c>
      <c r="C9" s="30" t="n">
        <v>22.62</v>
      </c>
      <c r="D9" s="30" t="n">
        <v>30</v>
      </c>
      <c r="E9" s="30" t="n">
        <v>45</v>
      </c>
      <c r="F9" s="30" t="inlineStr">
        <is>
          <t>green</t>
        </is>
      </c>
    </row>
    <row r="10">
      <c r="A10" s="29" t="inlineStr">
        <is>
          <t>single_name_gross</t>
        </is>
      </c>
      <c r="B10" s="30" t="inlineStr">
        <is>
          <t>HSY</t>
        </is>
      </c>
      <c r="C10" s="30" t="n">
        <v>14.87</v>
      </c>
      <c r="D10" s="30" t="n">
        <v>30</v>
      </c>
      <c r="E10" s="30" t="n">
        <v>45</v>
      </c>
      <c r="F10" s="30" t="inlineStr">
        <is>
          <t>green</t>
        </is>
      </c>
    </row>
    <row r="11">
      <c r="A11" s="29" t="inlineStr">
        <is>
          <t>sector_net</t>
        </is>
      </c>
      <c r="B11" s="30" t="inlineStr">
        <is>
          <t>industrial</t>
        </is>
      </c>
      <c r="C11" s="30" t="n">
        <v>16.11</v>
      </c>
      <c r="D11" s="30" t="n">
        <v>30</v>
      </c>
      <c r="E11" s="30" t="n">
        <v>50</v>
      </c>
      <c r="F11" s="30" t="inlineStr">
        <is>
          <t>green</t>
        </is>
      </c>
    </row>
    <row r="12">
      <c r="A12" s="29" t="inlineStr">
        <is>
          <t>max_pair</t>
        </is>
      </c>
      <c r="B12" s="30" t="inlineStr">
        <is>
          <t>combined</t>
        </is>
      </c>
      <c r="C12" s="30" t="n">
        <v>14.06</v>
      </c>
      <c r="D12" s="30" t="n">
        <v>20</v>
      </c>
      <c r="E12" s="30" t="n">
        <v>35</v>
      </c>
      <c r="F12" s="30" t="inlineStr">
        <is>
          <t>green</t>
        </is>
      </c>
    </row>
    <row r="13">
      <c r="A13" s="29" t="inlineStr">
        <is>
          <t>net_market_beta</t>
        </is>
      </c>
      <c r="B13" s="30" t="inlineStr">
        <is>
          <t>combined</t>
        </is>
      </c>
      <c r="C13" s="30" t="n">
        <v>0.61</v>
      </c>
      <c r="D13" s="30" t="n">
        <v>2</v>
      </c>
      <c r="E13" s="30" t="n">
        <v>3</v>
      </c>
      <c r="F13" s="30" t="inlineStr">
        <is>
          <t>green</t>
        </is>
      </c>
    </row>
    <row r="14">
      <c r="A14" s="29" t="inlineStr">
        <is>
          <t>var_95_1d</t>
        </is>
      </c>
      <c r="B14" s="30" t="inlineStr">
        <is>
          <t>combined</t>
        </is>
      </c>
      <c r="C14" s="30" t="n">
        <v>2.16</v>
      </c>
      <c r="D14" s="30" t="n">
        <v>4</v>
      </c>
      <c r="E14" s="30" t="n">
        <v>5.5</v>
      </c>
      <c r="F14" s="30" t="inlineStr">
        <is>
          <t>green</t>
        </is>
      </c>
    </row>
    <row r="15">
      <c r="A15" s="29" t="inlineStr">
        <is>
          <t>open_pairs</t>
        </is>
      </c>
      <c r="B15" s="30" t="inlineStr">
        <is>
          <t>mrpt</t>
        </is>
      </c>
      <c r="C15" s="30" t="n">
        <v>2</v>
      </c>
      <c r="D15" s="30" t="n">
        <v>8</v>
      </c>
      <c r="E15" s="30" t="n"/>
      <c r="F15" s="30" t="inlineStr">
        <is>
          <t>green</t>
        </is>
      </c>
    </row>
    <row r="16">
      <c r="A16" s="31" t="inlineStr">
        <is>
          <t>open_pairs</t>
        </is>
      </c>
      <c r="B16" s="32" t="inlineStr">
        <is>
          <t>mtfs</t>
        </is>
      </c>
      <c r="C16" s="32" t="n">
        <v>8</v>
      </c>
      <c r="D16" s="32" t="n">
        <v>8</v>
      </c>
      <c r="E16" s="32" t="n"/>
      <c r="F16" s="32" t="inlineStr">
        <is>
          <t>amber</t>
        </is>
      </c>
    </row>
  </sheetData>
  <mergeCells count="1"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6" customWidth="1" min="4" max="4"/>
    <col width="10" customWidth="1" min="5" max="5"/>
    <col width="12" customWidth="1" min="6" max="6"/>
    <col width="14" customWidth="1" min="7" max="7"/>
    <col width="12" customWidth="1" min="8" max="8"/>
    <col width="9" customWidth="1" min="9" max="9"/>
    <col width="22" customWidth="1" min="10" max="10"/>
  </cols>
  <sheetData>
    <row r="1">
      <c r="A1" s="1" t="inlineStr">
        <is>
          <t>POSITION DETAIL — 逐腿明细</t>
        </is>
      </c>
    </row>
    <row r="3">
      <c r="A3" s="9" t="inlineStr">
        <is>
          <t>Strategy</t>
        </is>
      </c>
      <c r="B3" s="9" t="inlineStr">
        <is>
          <t>Pair</t>
        </is>
      </c>
      <c r="C3" s="9" t="inlineStr">
        <is>
          <t>Ticker</t>
        </is>
      </c>
      <c r="D3" s="9" t="inlineStr">
        <is>
          <t>Dir</t>
        </is>
      </c>
      <c r="E3" s="9" t="inlineStr">
        <is>
          <t>Shares</t>
        </is>
      </c>
      <c r="F3" s="9" t="inlineStr">
        <is>
          <t>Price ($)</t>
        </is>
      </c>
      <c r="G3" s="9" t="inlineStr">
        <is>
          <t>Market Value ($)</t>
        </is>
      </c>
      <c r="H3" s="9" t="inlineStr">
        <is>
          <t>Sector</t>
        </is>
      </c>
      <c r="I3" s="9" t="inlineStr">
        <is>
          <t>Days Held</t>
        </is>
      </c>
      <c r="J3" s="9" t="inlineStr">
        <is>
          <t>Param Set</t>
        </is>
      </c>
    </row>
    <row r="4">
      <c r="A4" s="12" t="inlineStr">
        <is>
          <t>MRPT</t>
        </is>
      </c>
      <c r="B4" s="17" t="inlineStr">
        <is>
          <t>AIG/CFG</t>
        </is>
      </c>
      <c r="C4" s="17" t="inlineStr">
        <is>
          <t>AIG</t>
        </is>
      </c>
      <c r="D4" s="17" t="inlineStr">
        <is>
          <t>short</t>
        </is>
      </c>
      <c r="E4" s="26" t="n">
        <v>-1636</v>
      </c>
      <c r="F4" s="15" t="n">
        <v>80.5</v>
      </c>
      <c r="G4" s="19" t="n">
        <v>-131698</v>
      </c>
      <c r="H4" s="17" t="inlineStr">
        <is>
          <t>finance</t>
        </is>
      </c>
      <c r="I4" s="17" t="n">
        <v>0</v>
      </c>
      <c r="J4" s="17" t="inlineStr">
        <is>
          <t>fast_reentry</t>
        </is>
      </c>
    </row>
    <row r="5">
      <c r="A5" s="10" t="inlineStr">
        <is>
          <t>MRPT</t>
        </is>
      </c>
      <c r="B5" s="7" t="inlineStr">
        <is>
          <t>AIG/CFG</t>
        </is>
      </c>
      <c r="C5" s="7" t="inlineStr">
        <is>
          <t>CFG</t>
        </is>
      </c>
      <c r="D5" s="7" t="inlineStr">
        <is>
          <t>long</t>
        </is>
      </c>
      <c r="E5" s="24" t="n">
        <v>1789</v>
      </c>
      <c r="F5" s="11" t="n">
        <v>72.39</v>
      </c>
      <c r="G5" s="4" t="n">
        <v>129505.71</v>
      </c>
      <c r="H5" s="7" t="inlineStr">
        <is>
          <t>finance</t>
        </is>
      </c>
      <c r="I5" s="7" t="n">
        <v>0</v>
      </c>
      <c r="J5" s="7" t="inlineStr">
        <is>
          <t>fast_reentry</t>
        </is>
      </c>
    </row>
    <row r="6">
      <c r="A6" s="12" t="inlineStr">
        <is>
          <t>MRPT</t>
        </is>
      </c>
      <c r="B6" s="17" t="inlineStr">
        <is>
          <t>ACGL/HIG</t>
        </is>
      </c>
      <c r="C6" s="17" t="inlineStr">
        <is>
          <t>ACGL</t>
        </is>
      </c>
      <c r="D6" s="17" t="inlineStr">
        <is>
          <t>long</t>
        </is>
      </c>
      <c r="E6" s="26" t="n">
        <v>867</v>
      </c>
      <c r="F6" s="13" t="n">
        <v>101.35</v>
      </c>
      <c r="G6" s="13" t="n">
        <v>87870.45</v>
      </c>
      <c r="H6" s="17" t="inlineStr">
        <is>
          <t>finance</t>
        </is>
      </c>
      <c r="I6" s="17" t="n">
        <v>0</v>
      </c>
      <c r="J6" s="17" t="inlineStr">
        <is>
          <t>low_vol_specialist</t>
        </is>
      </c>
    </row>
    <row r="7">
      <c r="A7" s="10" t="inlineStr">
        <is>
          <t>MRPT</t>
        </is>
      </c>
      <c r="B7" s="7" t="inlineStr">
        <is>
          <t>ACGL/HIG</t>
        </is>
      </c>
      <c r="C7" s="7" t="inlineStr">
        <is>
          <t>HIG</t>
        </is>
      </c>
      <c r="D7" s="7" t="inlineStr">
        <is>
          <t>short</t>
        </is>
      </c>
      <c r="E7" s="24" t="n">
        <v>-628</v>
      </c>
      <c r="F7" s="4" t="n">
        <v>140.26</v>
      </c>
      <c r="G7" s="18" t="n">
        <v>-88083.28</v>
      </c>
      <c r="H7" s="7" t="inlineStr">
        <is>
          <t>finance</t>
        </is>
      </c>
      <c r="I7" s="7" t="n">
        <v>0</v>
      </c>
      <c r="J7" s="7" t="inlineStr">
        <is>
          <t>low_vol_specialist</t>
        </is>
      </c>
    </row>
    <row r="8">
      <c r="A8" s="12" t="inlineStr">
        <is>
          <t>MTFS</t>
        </is>
      </c>
      <c r="B8" s="17" t="inlineStr">
        <is>
          <t>ANET/LKQ</t>
        </is>
      </c>
      <c r="C8" s="17" t="inlineStr">
        <is>
          <t>ANET</t>
        </is>
      </c>
      <c r="D8" s="17" t="inlineStr">
        <is>
          <t>long</t>
        </is>
      </c>
      <c r="E8" s="26" t="n">
        <v>532</v>
      </c>
      <c r="F8" s="13" t="n">
        <v>168.61</v>
      </c>
      <c r="G8" s="13" t="n">
        <v>89700.52</v>
      </c>
      <c r="H8" s="17" t="inlineStr">
        <is>
          <t>tech</t>
        </is>
      </c>
      <c r="I8" s="17" t="n">
        <v>0</v>
      </c>
      <c r="J8" s="17" t="inlineStr">
        <is>
          <t>slow_rebalance</t>
        </is>
      </c>
    </row>
    <row r="9">
      <c r="A9" s="10" t="inlineStr">
        <is>
          <t>MTFS</t>
        </is>
      </c>
      <c r="B9" s="7" t="inlineStr">
        <is>
          <t>ANET/LKQ</t>
        </is>
      </c>
      <c r="C9" s="7" t="inlineStr">
        <is>
          <t>LKQ</t>
        </is>
      </c>
      <c r="D9" s="7" t="inlineStr">
        <is>
          <t>short</t>
        </is>
      </c>
      <c r="E9" s="24" t="n">
        <v>-3675</v>
      </c>
      <c r="F9" s="11" t="n">
        <v>25.38</v>
      </c>
      <c r="G9" s="18" t="n">
        <v>-93271.5</v>
      </c>
      <c r="H9" s="7" t="inlineStr">
        <is>
          <t>other</t>
        </is>
      </c>
      <c r="I9" s="7" t="n">
        <v>0</v>
      </c>
      <c r="J9" s="7" t="inlineStr">
        <is>
          <t>slow_rebalance</t>
        </is>
      </c>
    </row>
    <row r="10">
      <c r="A10" s="12" t="inlineStr">
        <is>
          <t>MTFS</t>
        </is>
      </c>
      <c r="B10" s="17" t="inlineStr">
        <is>
          <t>BBY/HCA</t>
        </is>
      </c>
      <c r="C10" s="17" t="inlineStr">
        <is>
          <t>BBY</t>
        </is>
      </c>
      <c r="D10" s="17" t="inlineStr">
        <is>
          <t>long</t>
        </is>
      </c>
      <c r="E10" s="26" t="n">
        <v>1075</v>
      </c>
      <c r="F10" s="15" t="n">
        <v>85.41</v>
      </c>
      <c r="G10" s="13" t="n">
        <v>91815.75</v>
      </c>
      <c r="H10" s="17" t="inlineStr">
        <is>
          <t>food</t>
        </is>
      </c>
      <c r="I10" s="17" t="n">
        <v>1</v>
      </c>
      <c r="J10" s="17" t="inlineStr">
        <is>
          <t>long_term_kalman</t>
        </is>
      </c>
    </row>
    <row r="11">
      <c r="A11" s="10" t="inlineStr">
        <is>
          <t>MTFS</t>
        </is>
      </c>
      <c r="B11" s="7" t="inlineStr">
        <is>
          <t>BBY/HCA</t>
        </is>
      </c>
      <c r="C11" s="7" t="inlineStr">
        <is>
          <t>HCA</t>
        </is>
      </c>
      <c r="D11" s="7" t="inlineStr">
        <is>
          <t>short</t>
        </is>
      </c>
      <c r="E11" s="24" t="n">
        <v>-241</v>
      </c>
      <c r="F11" s="4" t="n">
        <v>371.18</v>
      </c>
      <c r="G11" s="18" t="n">
        <v>-89454.38</v>
      </c>
      <c r="H11" s="7" t="inlineStr">
        <is>
          <t>health</t>
        </is>
      </c>
      <c r="I11" s="7" t="n">
        <v>1</v>
      </c>
      <c r="J11" s="7" t="inlineStr">
        <is>
          <t>long_term_kalman</t>
        </is>
      </c>
    </row>
    <row r="12">
      <c r="A12" s="12" t="inlineStr">
        <is>
          <t>MTFS</t>
        </is>
      </c>
      <c r="B12" s="17" t="inlineStr">
        <is>
          <t>VLO/HSY</t>
        </is>
      </c>
      <c r="C12" s="17" t="inlineStr">
        <is>
          <t>VLO</t>
        </is>
      </c>
      <c r="D12" s="17" t="inlineStr">
        <is>
          <t>long</t>
        </is>
      </c>
      <c r="E12" s="26" t="n">
        <v>312</v>
      </c>
      <c r="F12" s="13" t="n">
        <v>309.65</v>
      </c>
      <c r="G12" s="13" t="n">
        <v>96610.8</v>
      </c>
      <c r="H12" s="17" t="inlineStr">
        <is>
          <t>energy</t>
        </is>
      </c>
      <c r="I12" s="17" t="n">
        <v>0</v>
      </c>
      <c r="J12" s="17" t="inlineStr">
        <is>
          <t>short_term_…a_neutral_fc</t>
        </is>
      </c>
    </row>
    <row r="13">
      <c r="A13" s="10" t="inlineStr">
        <is>
          <t>MTFS</t>
        </is>
      </c>
      <c r="B13" s="7" t="inlineStr">
        <is>
          <t>VLO/HSY</t>
        </is>
      </c>
      <c r="C13" s="7" t="inlineStr">
        <is>
          <t>HSY</t>
        </is>
      </c>
      <c r="D13" s="7" t="inlineStr">
        <is>
          <t>short</t>
        </is>
      </c>
      <c r="E13" s="24" t="n">
        <v>-538</v>
      </c>
      <c r="F13" s="4" t="n">
        <v>171.42</v>
      </c>
      <c r="G13" s="18" t="n">
        <v>-92223.96000000001</v>
      </c>
      <c r="H13" s="7" t="inlineStr">
        <is>
          <t>food</t>
        </is>
      </c>
      <c r="I13" s="7" t="n">
        <v>0</v>
      </c>
      <c r="J13" s="7" t="inlineStr">
        <is>
          <t>short_term_…a_neutral_fc</t>
        </is>
      </c>
    </row>
    <row r="14">
      <c r="A14" s="12" t="inlineStr">
        <is>
          <t>MTFS</t>
        </is>
      </c>
      <c r="B14" s="17" t="inlineStr">
        <is>
          <t>JBHT/LKQ</t>
        </is>
      </c>
      <c r="C14" s="17" t="inlineStr">
        <is>
          <t>JBHT</t>
        </is>
      </c>
      <c r="D14" s="17" t="inlineStr">
        <is>
          <t>long</t>
        </is>
      </c>
      <c r="E14" s="26" t="n">
        <v>617</v>
      </c>
      <c r="F14" s="13" t="n">
        <v>291.41</v>
      </c>
      <c r="G14" s="13" t="n">
        <v>179799.97</v>
      </c>
      <c r="H14" s="17" t="inlineStr">
        <is>
          <t>industrial</t>
        </is>
      </c>
      <c r="I14" s="17" t="n">
        <v>0</v>
      </c>
      <c r="J14" s="17" t="inlineStr">
        <is>
          <t>short_term_beta_neutral</t>
        </is>
      </c>
    </row>
    <row r="15">
      <c r="A15" s="10" t="inlineStr">
        <is>
          <t>MTFS</t>
        </is>
      </c>
      <c r="B15" s="7" t="inlineStr">
        <is>
          <t>JBHT/LKQ</t>
        </is>
      </c>
      <c r="C15" s="7" t="inlineStr">
        <is>
          <t>LKQ</t>
        </is>
      </c>
      <c r="D15" s="7" t="inlineStr">
        <is>
          <t>short</t>
        </is>
      </c>
      <c r="E15" s="24" t="n">
        <v>-103</v>
      </c>
      <c r="F15" s="11" t="n">
        <v>25.38</v>
      </c>
      <c r="G15" s="18" t="n">
        <v>-2614.14</v>
      </c>
      <c r="H15" s="7" t="inlineStr">
        <is>
          <t>other</t>
        </is>
      </c>
      <c r="I15" s="7" t="n">
        <v>0</v>
      </c>
      <c r="J15" s="7" t="inlineStr">
        <is>
          <t>short_term_beta_neutral</t>
        </is>
      </c>
    </row>
    <row r="16">
      <c r="A16" s="12" t="inlineStr">
        <is>
          <t>MTFS</t>
        </is>
      </c>
      <c r="B16" s="17" t="inlineStr">
        <is>
          <t>BBY/HII</t>
        </is>
      </c>
      <c r="C16" s="17" t="inlineStr">
        <is>
          <t>BBY</t>
        </is>
      </c>
      <c r="D16" s="17" t="inlineStr">
        <is>
          <t>long</t>
        </is>
      </c>
      <c r="E16" s="26" t="n">
        <v>1651</v>
      </c>
      <c r="F16" s="15" t="n">
        <v>85.41</v>
      </c>
      <c r="G16" s="13" t="n">
        <v>141011.91</v>
      </c>
      <c r="H16" s="17" t="inlineStr">
        <is>
          <t>food</t>
        </is>
      </c>
      <c r="I16" s="17" t="n">
        <v>0</v>
      </c>
      <c r="J16" s="17" t="inlineStr">
        <is>
          <t>entry_filter_kalman</t>
        </is>
      </c>
    </row>
    <row r="17">
      <c r="A17" s="10" t="inlineStr">
        <is>
          <t>MTFS</t>
        </is>
      </c>
      <c r="B17" s="7" t="inlineStr">
        <is>
          <t>BBY/HII</t>
        </is>
      </c>
      <c r="C17" s="7" t="inlineStr">
        <is>
          <t>HII</t>
        </is>
      </c>
      <c r="D17" s="7" t="inlineStr">
        <is>
          <t>short</t>
        </is>
      </c>
      <c r="E17" s="24" t="n">
        <v>-224</v>
      </c>
      <c r="F17" s="4" t="n">
        <v>269.13</v>
      </c>
      <c r="G17" s="18" t="n">
        <v>-60285.12</v>
      </c>
      <c r="H17" s="7" t="inlineStr">
        <is>
          <t>industrial</t>
        </is>
      </c>
      <c r="I17" s="7" t="n">
        <v>0</v>
      </c>
      <c r="J17" s="7" t="inlineStr">
        <is>
          <t>entry_filter_kalman</t>
        </is>
      </c>
    </row>
    <row r="18">
      <c r="A18" s="12" t="inlineStr">
        <is>
          <t>MTFS</t>
        </is>
      </c>
      <c r="B18" s="17" t="inlineStr">
        <is>
          <t>STT/HSY</t>
        </is>
      </c>
      <c r="C18" s="17" t="inlineStr">
        <is>
          <t>STT</t>
        </is>
      </c>
      <c r="D18" s="17" t="inlineStr">
        <is>
          <t>long</t>
        </is>
      </c>
      <c r="E18" s="26" t="n">
        <v>333</v>
      </c>
      <c r="F18" s="13" t="n">
        <v>182.5</v>
      </c>
      <c r="G18" s="13" t="n">
        <v>60772.5</v>
      </c>
      <c r="H18" s="17" t="inlineStr">
        <is>
          <t>finance</t>
        </is>
      </c>
      <c r="I18" s="17" t="n">
        <v>0</v>
      </c>
      <c r="J18" s="17" t="inlineStr">
        <is>
          <t>short_term_…a_neutral_fc</t>
        </is>
      </c>
    </row>
    <row r="19">
      <c r="A19" s="10" t="inlineStr">
        <is>
          <t>MTFS</t>
        </is>
      </c>
      <c r="B19" s="7" t="inlineStr">
        <is>
          <t>STT/HSY</t>
        </is>
      </c>
      <c r="C19" s="7" t="inlineStr">
        <is>
          <t>HSY</t>
        </is>
      </c>
      <c r="D19" s="7" t="inlineStr">
        <is>
          <t>short</t>
        </is>
      </c>
      <c r="E19" s="24" t="n">
        <v>-355</v>
      </c>
      <c r="F19" s="4" t="n">
        <v>171.42</v>
      </c>
      <c r="G19" s="18" t="n">
        <v>-60854.1</v>
      </c>
      <c r="H19" s="7" t="inlineStr">
        <is>
          <t>food</t>
        </is>
      </c>
      <c r="I19" s="7" t="n">
        <v>0</v>
      </c>
      <c r="J19" s="7" t="inlineStr">
        <is>
          <t>short_term_…a_neutral_fc</t>
        </is>
      </c>
    </row>
    <row r="20">
      <c r="A20" s="12" t="inlineStr">
        <is>
          <t>MTFS</t>
        </is>
      </c>
      <c r="B20" s="17" t="inlineStr">
        <is>
          <t>PSX/ORLY</t>
        </is>
      </c>
      <c r="C20" s="17" t="inlineStr">
        <is>
          <t>PSX</t>
        </is>
      </c>
      <c r="D20" s="17" t="inlineStr">
        <is>
          <t>long</t>
        </is>
      </c>
      <c r="E20" s="26" t="n">
        <v>294</v>
      </c>
      <c r="F20" s="13" t="n">
        <v>206.86</v>
      </c>
      <c r="G20" s="13" t="n">
        <v>60816.84</v>
      </c>
      <c r="H20" s="17" t="inlineStr">
        <is>
          <t>energy</t>
        </is>
      </c>
      <c r="I20" s="17" t="n">
        <v>0</v>
      </c>
      <c r="J20" s="17" t="inlineStr">
        <is>
          <t>slow_rebalance</t>
        </is>
      </c>
    </row>
    <row r="21">
      <c r="A21" s="10" t="inlineStr">
        <is>
          <t>MTFS</t>
        </is>
      </c>
      <c r="B21" s="7" t="inlineStr">
        <is>
          <t>PSX/ORLY</t>
        </is>
      </c>
      <c r="C21" s="7" t="inlineStr">
        <is>
          <t>ORLY</t>
        </is>
      </c>
      <c r="D21" s="7" t="inlineStr">
        <is>
          <t>short</t>
        </is>
      </c>
      <c r="E21" s="24" t="n">
        <v>-707</v>
      </c>
      <c r="F21" s="11" t="n">
        <v>86.05</v>
      </c>
      <c r="G21" s="18" t="n">
        <v>-60837.35</v>
      </c>
      <c r="H21" s="7" t="inlineStr">
        <is>
          <t>food</t>
        </is>
      </c>
      <c r="I21" s="7" t="n">
        <v>0</v>
      </c>
      <c r="J21" s="7" t="inlineStr">
        <is>
          <t>slow_rebalance</t>
        </is>
      </c>
    </row>
    <row r="22">
      <c r="A22" s="12" t="inlineStr">
        <is>
          <t>MTFS</t>
        </is>
      </c>
      <c r="B22" s="17" t="inlineStr">
        <is>
          <t>JBHT/PEP</t>
        </is>
      </c>
      <c r="C22" s="17" t="inlineStr">
        <is>
          <t>JBHT</t>
        </is>
      </c>
      <c r="D22" s="17" t="inlineStr">
        <is>
          <t>long</t>
        </is>
      </c>
      <c r="E22" s="26" t="n">
        <v>617</v>
      </c>
      <c r="F22" s="13" t="n">
        <v>291.41</v>
      </c>
      <c r="G22" s="13" t="n">
        <v>179799.97</v>
      </c>
      <c r="H22" s="17" t="inlineStr">
        <is>
          <t>industrial</t>
        </is>
      </c>
      <c r="I22" s="17" t="n">
        <v>0</v>
      </c>
      <c r="J22" s="17" t="inlineStr">
        <is>
          <t>weekly_aligned_windows</t>
        </is>
      </c>
    </row>
    <row r="23">
      <c r="A23" s="10" t="inlineStr">
        <is>
          <t>MTFS</t>
        </is>
      </c>
      <c r="B23" s="7" t="inlineStr">
        <is>
          <t>JBHT/PEP</t>
        </is>
      </c>
      <c r="C23" s="7" t="inlineStr">
        <is>
          <t>PEP</t>
        </is>
      </c>
      <c r="D23" s="7" t="inlineStr">
        <is>
          <t>short</t>
        </is>
      </c>
      <c r="E23" s="24" t="n">
        <v>-444</v>
      </c>
      <c r="F23" s="4" t="n">
        <v>137.12</v>
      </c>
      <c r="G23" s="18" t="n">
        <v>-60881.28</v>
      </c>
      <c r="H23" s="7" t="inlineStr">
        <is>
          <t>food</t>
        </is>
      </c>
      <c r="I23" s="7" t="n">
        <v>0</v>
      </c>
      <c r="J23" s="7" t="inlineStr">
        <is>
          <t>weekly_aligned_windows</t>
        </is>
      </c>
    </row>
  </sheetData>
  <mergeCells count="1">
    <mergeCell ref="A1:J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6" customWidth="1" min="4" max="4"/>
    <col width="9" customWidth="1" min="5" max="5"/>
    <col width="22" customWidth="1" min="6" max="6"/>
    <col width="9" customWidth="1" min="7" max="7"/>
  </cols>
  <sheetData>
    <row r="1">
      <c r="A1" s="1" t="inlineStr">
        <is>
          <t>PER-PAIR PnL ATTRIBUTION — 配对盈亏归因</t>
        </is>
      </c>
    </row>
    <row r="3">
      <c r="A3" s="9" t="inlineStr">
        <is>
          <t>Strategy</t>
        </is>
      </c>
      <c r="B3" s="9" t="inlineStr">
        <is>
          <t>Pair</t>
        </is>
      </c>
      <c r="C3" s="9" t="inlineStr">
        <is>
          <t>Unrealized PnL ($)</t>
        </is>
      </c>
      <c r="D3" s="9" t="inlineStr">
        <is>
          <t>Gross Notional ($)</t>
        </is>
      </c>
      <c r="E3" s="9" t="inlineStr">
        <is>
          <t>Days Held</t>
        </is>
      </c>
      <c r="F3" s="9" t="inlineStr">
        <is>
          <t>Param Set</t>
        </is>
      </c>
      <c r="G3" s="9" t="inlineStr">
        <is>
          <t>Direction</t>
        </is>
      </c>
    </row>
    <row r="4">
      <c r="A4" s="12" t="inlineStr">
        <is>
          <t>MRPT</t>
        </is>
      </c>
      <c r="B4" s="17" t="inlineStr">
        <is>
          <t>AIG/CFG</t>
        </is>
      </c>
      <c r="C4" s="13" t="n">
        <v>5412.19</v>
      </c>
      <c r="D4" s="13" t="n">
        <v>261203.71</v>
      </c>
      <c r="E4" s="17" t="n">
        <v>0</v>
      </c>
      <c r="F4" s="17" t="inlineStr">
        <is>
          <t>fast_reentry</t>
        </is>
      </c>
      <c r="G4" s="17" t="inlineStr">
        <is>
          <t>short</t>
        </is>
      </c>
    </row>
    <row r="5">
      <c r="A5" s="10" t="inlineStr">
        <is>
          <t>MRPT</t>
        </is>
      </c>
      <c r="B5" s="7" t="inlineStr">
        <is>
          <t>ACGL/HIG</t>
        </is>
      </c>
      <c r="C5" s="11" t="n">
        <v>0</v>
      </c>
      <c r="D5" s="4" t="n">
        <v>175953.73</v>
      </c>
      <c r="E5" s="7" t="n">
        <v>0</v>
      </c>
      <c r="F5" s="7" t="inlineStr">
        <is>
          <t>low_vol_specialist</t>
        </is>
      </c>
      <c r="G5" s="7" t="inlineStr">
        <is>
          <t>long</t>
        </is>
      </c>
    </row>
    <row r="6">
      <c r="A6" s="12" t="inlineStr">
        <is>
          <t>MTFS</t>
        </is>
      </c>
      <c r="B6" s="17" t="inlineStr">
        <is>
          <t>ANET/LKQ</t>
        </is>
      </c>
      <c r="C6" s="19" t="n">
        <v>-3451.42</v>
      </c>
      <c r="D6" s="13" t="n">
        <v>182972.02</v>
      </c>
      <c r="E6" s="17" t="n">
        <v>0</v>
      </c>
      <c r="F6" s="17" t="inlineStr">
        <is>
          <t>slow_rebalance</t>
        </is>
      </c>
      <c r="G6" s="17" t="inlineStr">
        <is>
          <t>long</t>
        </is>
      </c>
    </row>
    <row r="7">
      <c r="A7" s="10" t="inlineStr">
        <is>
          <t>MTFS</t>
        </is>
      </c>
      <c r="B7" s="7" t="inlineStr">
        <is>
          <t>BBY/HCA</t>
        </is>
      </c>
      <c r="C7" s="4" t="n">
        <v>1891.47</v>
      </c>
      <c r="D7" s="4" t="n">
        <v>181270.13</v>
      </c>
      <c r="E7" s="7" t="n">
        <v>1</v>
      </c>
      <c r="F7" s="7" t="inlineStr">
        <is>
          <t>long_term_kalman</t>
        </is>
      </c>
      <c r="G7" s="7" t="inlineStr">
        <is>
          <t>long</t>
        </is>
      </c>
    </row>
    <row r="8">
      <c r="A8" s="12" t="inlineStr">
        <is>
          <t>MTFS</t>
        </is>
      </c>
      <c r="B8" s="17" t="inlineStr">
        <is>
          <t>VLO/HSY</t>
        </is>
      </c>
      <c r="C8" s="13" t="n">
        <v>4682.18</v>
      </c>
      <c r="D8" s="13" t="n">
        <v>188834.76</v>
      </c>
      <c r="E8" s="17" t="n">
        <v>0</v>
      </c>
      <c r="F8" s="17" t="inlineStr">
        <is>
          <t>short_term_…a_neutral_fc</t>
        </is>
      </c>
      <c r="G8" s="17" t="inlineStr">
        <is>
          <t>long</t>
        </is>
      </c>
    </row>
    <row r="9">
      <c r="A9" s="10" t="inlineStr">
        <is>
          <t>MTFS</t>
        </is>
      </c>
      <c r="B9" s="7" t="inlineStr">
        <is>
          <t>JBHT/LKQ</t>
        </is>
      </c>
      <c r="C9" s="11" t="n">
        <v>0</v>
      </c>
      <c r="D9" s="4" t="n">
        <v>182414.11</v>
      </c>
      <c r="E9" s="7" t="n">
        <v>0</v>
      </c>
      <c r="F9" s="7" t="inlineStr">
        <is>
          <t>short_term_beta_neutral</t>
        </is>
      </c>
      <c r="G9" s="7" t="inlineStr">
        <is>
          <t>long</t>
        </is>
      </c>
    </row>
    <row r="10">
      <c r="A10" s="12" t="inlineStr">
        <is>
          <t>MTFS</t>
        </is>
      </c>
      <c r="B10" s="17" t="inlineStr">
        <is>
          <t>BBY/HII</t>
        </is>
      </c>
      <c r="C10" s="15" t="n">
        <v>0</v>
      </c>
      <c r="D10" s="13" t="n">
        <v>201297.03</v>
      </c>
      <c r="E10" s="17" t="n">
        <v>0</v>
      </c>
      <c r="F10" s="17" t="inlineStr">
        <is>
          <t>entry_filter_kalman</t>
        </is>
      </c>
      <c r="G10" s="17" t="inlineStr">
        <is>
          <t>long</t>
        </is>
      </c>
    </row>
    <row r="11">
      <c r="A11" s="10" t="inlineStr">
        <is>
          <t>MTFS</t>
        </is>
      </c>
      <c r="B11" s="7" t="inlineStr">
        <is>
          <t>STT/HSY</t>
        </is>
      </c>
      <c r="C11" s="11" t="n">
        <v>0</v>
      </c>
      <c r="D11" s="4" t="n">
        <v>121626.6</v>
      </c>
      <c r="E11" s="7" t="n">
        <v>0</v>
      </c>
      <c r="F11" s="7" t="inlineStr">
        <is>
          <t>short_term_…a_neutral_fc</t>
        </is>
      </c>
      <c r="G11" s="7" t="inlineStr">
        <is>
          <t>long</t>
        </is>
      </c>
    </row>
    <row r="12">
      <c r="A12" s="12" t="inlineStr">
        <is>
          <t>MTFS</t>
        </is>
      </c>
      <c r="B12" s="17" t="inlineStr">
        <is>
          <t>PSX/ORLY</t>
        </is>
      </c>
      <c r="C12" s="15" t="n">
        <v>0</v>
      </c>
      <c r="D12" s="13" t="n">
        <v>121654.19</v>
      </c>
      <c r="E12" s="17" t="n">
        <v>0</v>
      </c>
      <c r="F12" s="17" t="inlineStr">
        <is>
          <t>slow_rebalance</t>
        </is>
      </c>
      <c r="G12" s="17" t="inlineStr">
        <is>
          <t>long</t>
        </is>
      </c>
    </row>
    <row r="13">
      <c r="A13" s="10" t="inlineStr">
        <is>
          <t>MTFS</t>
        </is>
      </c>
      <c r="B13" s="7" t="inlineStr">
        <is>
          <t>JBHT/PEP</t>
        </is>
      </c>
      <c r="C13" s="11" t="n">
        <v>0</v>
      </c>
      <c r="D13" s="4" t="n">
        <v>240681.25</v>
      </c>
      <c r="E13" s="7" t="n">
        <v>0</v>
      </c>
      <c r="F13" s="7" t="inlineStr">
        <is>
          <t>weekly_aligned_windows</t>
        </is>
      </c>
      <c r="G13" s="7" t="inlineStr">
        <is>
          <t>long</t>
        </is>
      </c>
    </row>
  </sheetData>
  <mergeCells count="1"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</cols>
  <sheetData>
    <row r="1">
      <c r="A1" s="1" t="inlineStr">
        <is>
          <t>INVENTORY RECONCILIATION — 快照来源审计</t>
        </is>
      </c>
    </row>
    <row r="3">
      <c r="A3" s="9" t="inlineStr">
        <is>
          <t>Period</t>
        </is>
      </c>
      <c r="B3" s="9" t="inlineStr">
        <is>
          <t>MRPT snapshot as-of</t>
        </is>
      </c>
      <c r="C3" s="9" t="inlineStr">
        <is>
          <t>MTFS snapshot as-of</t>
        </is>
      </c>
    </row>
    <row r="4">
      <c r="A4" s="10" t="inlineStr">
        <is>
          <t>T</t>
        </is>
      </c>
      <c r="B4" s="7" t="inlineStr">
        <is>
          <t>2026-07-17</t>
        </is>
      </c>
      <c r="C4" s="7" t="inlineStr">
        <is>
          <t>2026-07-17</t>
        </is>
      </c>
    </row>
    <row r="5">
      <c r="A5" s="12" t="inlineStr">
        <is>
          <t>T_1D</t>
        </is>
      </c>
      <c r="B5" s="17" t="inlineStr">
        <is>
          <t>2026-07-16</t>
        </is>
      </c>
      <c r="C5" s="17" t="inlineStr">
        <is>
          <t>2026-07-16</t>
        </is>
      </c>
    </row>
    <row r="6">
      <c r="A6" s="10" t="inlineStr">
        <is>
          <t>T_1W</t>
        </is>
      </c>
      <c r="B6" s="7" t="inlineStr">
        <is>
          <t>2026-07-10</t>
        </is>
      </c>
      <c r="C6" s="7" t="inlineStr">
        <is>
          <t>2026-07-10</t>
        </is>
      </c>
    </row>
    <row r="7">
      <c r="A7" s="12" t="inlineStr">
        <is>
          <t>T_1M</t>
        </is>
      </c>
      <c r="B7" s="17" t="inlineStr">
        <is>
          <t>2026-06-18</t>
        </is>
      </c>
      <c r="C7" s="17" t="inlineStr">
        <is>
          <t>2026-06-18</t>
        </is>
      </c>
    </row>
  </sheetData>
  <mergeCells count="1">
    <mergeCell ref="A1:D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4" customWidth="1" min="4" max="4"/>
    <col width="14" customWidth="1" min="5" max="5"/>
  </cols>
  <sheetData>
    <row r="1">
      <c r="A1" s="1" t="inlineStr">
        <is>
          <t>RISK CONTRIBUTION — 风险贡献 (Maillard et al. 2010)</t>
        </is>
      </c>
    </row>
    <row r="2">
      <c r="A2" s="2" t="inlineStr">
        <is>
          <t>Maillard, Roncalli &amp; Teiletche (2010), J. Portfolio Mgmt</t>
        </is>
      </c>
    </row>
    <row r="4">
      <c r="A4" s="28" t="inlineStr">
        <is>
          <t>MASTER (4 strategies) — 等资本 vs 等风险</t>
        </is>
      </c>
    </row>
    <row r="5">
      <c r="A5" s="9" t="inlineStr">
        <is>
          <t>Component</t>
        </is>
      </c>
      <c r="B5" s="9" t="inlineStr">
        <is>
          <t>Capital Wt %</t>
        </is>
      </c>
      <c r="C5" s="9" t="inlineStr">
        <is>
          <t>Risk Contrib %</t>
        </is>
      </c>
      <c r="D5" s="9" t="inlineStr">
        <is>
          <t>ERC Target %</t>
        </is>
      </c>
      <c r="E5" s="9" t="inlineStr">
        <is>
          <t>Divergence %</t>
        </is>
      </c>
    </row>
    <row r="6">
      <c r="A6" s="10" t="inlineStr">
        <is>
          <t>MRPT</t>
        </is>
      </c>
      <c r="B6" s="7" t="n">
        <v>12.02</v>
      </c>
      <c r="C6" s="7" t="n">
        <v>0.24</v>
      </c>
      <c r="D6" s="7" t="n">
        <v>25</v>
      </c>
      <c r="E6" s="23" t="n">
        <v>-11.78</v>
      </c>
    </row>
    <row r="7">
      <c r="A7" s="12" t="inlineStr">
        <is>
          <t>MTFS</t>
        </is>
      </c>
      <c r="B7" s="17" t="n">
        <v>9.32</v>
      </c>
      <c r="C7" s="17" t="n">
        <v>14.67</v>
      </c>
      <c r="D7" s="17" t="n">
        <v>25</v>
      </c>
      <c r="E7" s="20" t="n">
        <v>5.35</v>
      </c>
    </row>
    <row r="8">
      <c r="A8" s="10" t="inlineStr">
        <is>
          <t>SSRS</t>
        </is>
      </c>
      <c r="B8" s="7" t="n">
        <v>20.65</v>
      </c>
      <c r="C8" s="7" t="n">
        <v>1.71</v>
      </c>
      <c r="D8" s="7" t="n">
        <v>25</v>
      </c>
      <c r="E8" s="23" t="n">
        <v>-18.94</v>
      </c>
    </row>
    <row r="9">
      <c r="A9" s="12" t="inlineStr">
        <is>
          <t>AISS</t>
        </is>
      </c>
      <c r="B9" s="17" t="n">
        <v>58.01</v>
      </c>
      <c r="C9" s="17" t="n">
        <v>83.37</v>
      </c>
      <c r="D9" s="17" t="n">
        <v>25</v>
      </c>
      <c r="E9" s="20" t="n">
        <v>25.36</v>
      </c>
    </row>
    <row r="11">
      <c r="A11" s="28" t="inlineStr">
        <is>
          <t>PAIRS (within combined book)</t>
        </is>
      </c>
    </row>
    <row r="12">
      <c r="A12" s="9" t="inlineStr">
        <is>
          <t>Pair</t>
        </is>
      </c>
      <c r="B12" s="9" t="inlineStr">
        <is>
          <t>Risk Contribution %</t>
        </is>
      </c>
    </row>
    <row r="13">
      <c r="A13" s="10" t="inlineStr">
        <is>
          <t>JBHT/PEP</t>
        </is>
      </c>
      <c r="B13" s="7" t="n">
        <v>18.2</v>
      </c>
    </row>
    <row r="14">
      <c r="A14" s="12" t="inlineStr">
        <is>
          <t>JBHT/LKQ</t>
        </is>
      </c>
      <c r="B14" s="17" t="n">
        <v>15.83</v>
      </c>
    </row>
    <row r="15">
      <c r="A15" s="10" t="inlineStr">
        <is>
          <t>ANET/LKQ</t>
        </is>
      </c>
      <c r="B15" s="7" t="n">
        <v>13.95</v>
      </c>
    </row>
    <row r="16">
      <c r="A16" s="12" t="inlineStr">
        <is>
          <t>BBY/HII</t>
        </is>
      </c>
      <c r="B16" s="17" t="n">
        <v>13.12</v>
      </c>
    </row>
    <row r="17">
      <c r="A17" s="10" t="inlineStr">
        <is>
          <t>BBY/HCA</t>
        </is>
      </c>
      <c r="B17" s="7" t="n">
        <v>12.45</v>
      </c>
    </row>
    <row r="18">
      <c r="A18" s="12" t="inlineStr">
        <is>
          <t>VLO/HSY</t>
        </is>
      </c>
      <c r="B18" s="17" t="n">
        <v>11.89</v>
      </c>
    </row>
    <row r="19">
      <c r="A19" s="10" t="inlineStr">
        <is>
          <t>STT/HSY</t>
        </is>
      </c>
      <c r="B19" s="7" t="n">
        <v>5.52</v>
      </c>
    </row>
    <row r="20">
      <c r="A20" s="12" t="inlineStr">
        <is>
          <t>AIG/CFG</t>
        </is>
      </c>
      <c r="B20" s="17" t="n">
        <v>5.41</v>
      </c>
    </row>
    <row r="21">
      <c r="A21" s="10" t="inlineStr">
        <is>
          <t>PSX/ORLY</t>
        </is>
      </c>
      <c r="B21" s="7" t="n">
        <v>2.96</v>
      </c>
    </row>
    <row r="22">
      <c r="A22" s="12" t="inlineStr">
        <is>
          <t>ACGL/HIG</t>
        </is>
      </c>
      <c r="B22" s="17" t="n">
        <v>0.67</v>
      </c>
    </row>
  </sheetData>
  <mergeCells count="1">
    <mergeCell ref="A1:F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8" customWidth="1" min="3" max="3"/>
    <col width="8" customWidth="1" min="4" max="4"/>
    <col width="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FACTOR ATTRIBUTION — FF5 + UMD 归因 (Fama-French; Carhart)</t>
        </is>
      </c>
    </row>
    <row r="2">
      <c r="A2" s="2" t="inlineStr">
        <is>
          <t>Fama-French (1993,2015); Carhart (1997)  ·  source=french  ·  short-sample (live ITD); t-stats indicative</t>
        </is>
      </c>
    </row>
    <row r="4">
      <c r="A4" s="9" t="inlineStr">
        <is>
          <t>Scope</t>
        </is>
      </c>
      <c r="B4" s="9" t="inlineStr">
        <is>
          <t>Annual α %</t>
        </is>
      </c>
      <c r="C4" s="9" t="inlineStr">
        <is>
          <t>α t</t>
        </is>
      </c>
      <c r="D4" s="9" t="inlineStr">
        <is>
          <t>R²</t>
        </is>
      </c>
      <c r="E4" s="9" t="inlineStr">
        <is>
          <t>n</t>
        </is>
      </c>
      <c r="F4" s="9" t="inlineStr">
        <is>
          <t>MKT</t>
        </is>
      </c>
      <c r="G4" s="9" t="inlineStr">
        <is>
          <t>SMB</t>
        </is>
      </c>
      <c r="H4" s="9" t="inlineStr">
        <is>
          <t>HML</t>
        </is>
      </c>
      <c r="I4" s="9" t="inlineStr">
        <is>
          <t>RMW</t>
        </is>
      </c>
      <c r="J4" s="9" t="inlineStr">
        <is>
          <t>CMA</t>
        </is>
      </c>
      <c r="K4" s="9" t="inlineStr">
        <is>
          <t>UMD</t>
        </is>
      </c>
    </row>
    <row r="5">
      <c r="A5" s="10" t="inlineStr">
        <is>
          <t>COMBINED</t>
        </is>
      </c>
      <c r="B5" s="22" t="n">
        <v>18.88</v>
      </c>
      <c r="C5" s="7" t="n">
        <v>1.11</v>
      </c>
      <c r="D5" s="7" t="n">
        <v>0.07000000000000001</v>
      </c>
      <c r="E5" s="7" t="n">
        <v>136</v>
      </c>
      <c r="F5" s="7" t="inlineStr">
        <is>
          <t>-0.001 (t=-0.01)</t>
        </is>
      </c>
      <c r="G5" s="7" t="inlineStr">
        <is>
          <t>0.161 (t=1.11)</t>
        </is>
      </c>
      <c r="H5" s="7" t="inlineStr">
        <is>
          <t>0.158 (t=1.14)</t>
        </is>
      </c>
      <c r="I5" s="7" t="inlineStr">
        <is>
          <t>0.223 (t=1.85)</t>
        </is>
      </c>
      <c r="J5" s="7" t="inlineStr">
        <is>
          <t>-0.313 (t=-1.55)</t>
        </is>
      </c>
      <c r="K5" s="7" t="inlineStr">
        <is>
          <t>-0.074 (t=-1.06)</t>
        </is>
      </c>
    </row>
    <row r="6">
      <c r="A6" s="12" t="inlineStr">
        <is>
          <t>MRPT</t>
        </is>
      </c>
      <c r="B6" s="20" t="n">
        <v>33.74</v>
      </c>
      <c r="C6" s="17" t="n">
        <v>1.53</v>
      </c>
      <c r="D6" s="17" t="n">
        <v>0.078</v>
      </c>
      <c r="E6" s="17" t="n">
        <v>136</v>
      </c>
      <c r="F6" s="17" t="inlineStr">
        <is>
          <t>0.033 (t=0.24)</t>
        </is>
      </c>
      <c r="G6" s="17" t="inlineStr">
        <is>
          <t>0.1 (t=0.53)</t>
        </is>
      </c>
      <c r="H6" s="17" t="inlineStr">
        <is>
          <t>-0.108 (t=-0.6)</t>
        </is>
      </c>
      <c r="I6" s="17" t="inlineStr">
        <is>
          <t>0.285 (t=1.81)</t>
        </is>
      </c>
      <c r="J6" s="17" t="inlineStr">
        <is>
          <t>-0.226 (t=-0.86)</t>
        </is>
      </c>
      <c r="K6" s="17" t="inlineStr">
        <is>
          <t>-0.173 (t=-1.9)</t>
        </is>
      </c>
    </row>
    <row r="7">
      <c r="A7" s="10" t="inlineStr">
        <is>
          <t>MTFS</t>
        </is>
      </c>
      <c r="B7" s="22" t="n">
        <v>0.5</v>
      </c>
      <c r="C7" s="7" t="n">
        <v>0.02</v>
      </c>
      <c r="D7" s="7" t="n">
        <v>0.058</v>
      </c>
      <c r="E7" s="7" t="n">
        <v>136</v>
      </c>
      <c r="F7" s="7" t="inlineStr">
        <is>
          <t>-0.045 (t=-0.24)</t>
        </is>
      </c>
      <c r="G7" s="7" t="inlineStr">
        <is>
          <t>0.255 (t=0.97)</t>
        </is>
      </c>
      <c r="H7" s="7" t="inlineStr">
        <is>
          <t>0.519 (t=2.07)</t>
        </is>
      </c>
      <c r="I7" s="7" t="inlineStr">
        <is>
          <t>0.142 (t=0.65)</t>
        </is>
      </c>
      <c r="J7" s="7" t="inlineStr">
        <is>
          <t>-0.434 (t=-1.19)</t>
        </is>
      </c>
      <c r="K7" s="7" t="inlineStr">
        <is>
          <t>0.069 (t=0.55)</t>
        </is>
      </c>
    </row>
  </sheetData>
  <mergeCells count="1">
    <mergeCell ref="A1:K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9" customWidth="1" min="3" max="3"/>
    <col width="10" customWidth="1" min="4" max="4"/>
    <col width="9" customWidth="1" min="5" max="5"/>
    <col width="9" customWidth="1" min="6" max="6"/>
    <col width="8" customWidth="1" min="7" max="7"/>
    <col width="9" customWidth="1" min="8" max="8"/>
    <col width="9" customWidth="1" min="9" max="9"/>
    <col width="10" customWidth="1" min="10" max="10"/>
  </cols>
  <sheetData>
    <row r="1">
      <c r="A1" s="1" t="inlineStr">
        <is>
          <t>RETURN DISTRIBUTION &amp; TAIL — 分布/肥尾/PSR/CDaR/Kelly</t>
        </is>
      </c>
    </row>
    <row r="3">
      <c r="A3" s="9" t="inlineStr">
        <is>
          <t>Scope</t>
        </is>
      </c>
      <c r="B3" s="9" t="inlineStr">
        <is>
          <t>Skew</t>
        </is>
      </c>
      <c r="C3" s="9" t="inlineStr">
        <is>
          <t>ExKurt</t>
        </is>
      </c>
      <c r="D3" s="9" t="inlineStr">
        <is>
          <t>JB p</t>
        </is>
      </c>
      <c r="E3" s="9" t="inlineStr">
        <is>
          <t>NormRej</t>
        </is>
      </c>
      <c r="F3" s="9" t="inlineStr">
        <is>
          <t>VaR95 norm%</t>
        </is>
      </c>
      <c r="G3" s="9" t="inlineStr">
        <is>
          <t>VaR95 CF%</t>
        </is>
      </c>
      <c r="H3" s="9" t="inlineStr">
        <is>
          <t>TailUnder%</t>
        </is>
      </c>
    </row>
    <row r="4">
      <c r="A4" s="10" t="inlineStr">
        <is>
          <t>COMBINED</t>
        </is>
      </c>
      <c r="B4" s="7" t="n">
        <v>0.083</v>
      </c>
      <c r="C4" s="7" t="n">
        <v>11.272</v>
      </c>
      <c r="D4" s="7" t="n">
        <v>0</v>
      </c>
      <c r="E4" s="7" t="b">
        <v>1</v>
      </c>
      <c r="F4" s="7" t="n">
        <v>2.829</v>
      </c>
      <c r="G4" s="7" t="n">
        <v>2.829</v>
      </c>
      <c r="H4" s="7" t="n">
        <v>0</v>
      </c>
    </row>
    <row r="5">
      <c r="A5" s="12" t="inlineStr">
        <is>
          <t>MRPT</t>
        </is>
      </c>
      <c r="B5" s="17" t="n">
        <v>-0.193</v>
      </c>
      <c r="C5" s="17" t="n">
        <v>2.145</v>
      </c>
      <c r="D5" s="17" t="n">
        <v>0</v>
      </c>
      <c r="E5" s="17" t="b">
        <v>1</v>
      </c>
      <c r="F5" s="17" t="n">
        <v>1.471</v>
      </c>
      <c r="G5" s="17" t="n">
        <v>1.481</v>
      </c>
      <c r="H5" s="17" t="n">
        <v>0.01</v>
      </c>
    </row>
    <row r="6">
      <c r="A6" s="10" t="inlineStr">
        <is>
          <t>MTFS</t>
        </is>
      </c>
      <c r="B6" s="7" t="n">
        <v>1.001</v>
      </c>
      <c r="C6" s="7" t="n">
        <v>14.106</v>
      </c>
      <c r="D6" s="7" t="n">
        <v>0</v>
      </c>
      <c r="E6" s="7" t="b">
        <v>1</v>
      </c>
      <c r="F6" s="7" t="n">
        <v>5.94</v>
      </c>
      <c r="G6" s="7" t="n">
        <v>5.94</v>
      </c>
      <c r="H6" s="7" t="n">
        <v>0</v>
      </c>
    </row>
    <row r="8">
      <c r="A8" s="9" t="inlineStr">
        <is>
          <t>Scope</t>
        </is>
      </c>
      <c r="B8" s="9" t="inlineStr">
        <is>
          <t>Sharpe(ann)</t>
        </is>
      </c>
      <c r="C8" s="9" t="inlineStr">
        <is>
          <t>PSR(&gt;0)</t>
        </is>
      </c>
      <c r="D8" s="9" t="inlineStr">
        <is>
          <t>minTRL(d)</t>
        </is>
      </c>
      <c r="E8" s="9" t="inlineStr">
        <is>
          <t>CDaR95%</t>
        </is>
      </c>
      <c r="F8" s="9" t="inlineStr">
        <is>
          <t>MaxDD%</t>
        </is>
      </c>
      <c r="G8" s="9" t="inlineStr">
        <is>
          <t>TUW%</t>
        </is>
      </c>
      <c r="H8" s="9" t="inlineStr">
        <is>
          <t>Kelly f*</t>
        </is>
      </c>
      <c r="I8" s="9" t="inlineStr">
        <is>
          <t>Kelly½</t>
        </is>
      </c>
      <c r="J8" s="9" t="inlineStr">
        <is>
          <t>ActualLev</t>
        </is>
      </c>
    </row>
    <row r="9">
      <c r="A9" s="10" t="inlineStr">
        <is>
          <t>COMBINED</t>
        </is>
      </c>
      <c r="B9" s="7" t="n">
        <v>0.698</v>
      </c>
      <c r="C9" s="7" t="n">
        <v>0.7204</v>
      </c>
      <c r="D9" s="7" t="n">
        <v>1406</v>
      </c>
      <c r="E9" s="7" t="n">
        <v>13.87</v>
      </c>
      <c r="F9" s="7" t="n">
        <v>14.48</v>
      </c>
      <c r="G9" s="7" t="n">
        <v>76.5</v>
      </c>
      <c r="H9" s="7" t="n">
        <v>1.85</v>
      </c>
      <c r="I9" s="7" t="n">
        <v>0.93</v>
      </c>
      <c r="J9" s="7" t="n">
        <v>1.805</v>
      </c>
    </row>
    <row r="10">
      <c r="A10" s="12" t="inlineStr">
        <is>
          <t>MRPT</t>
        </is>
      </c>
      <c r="B10" s="17" t="n">
        <v>1.302</v>
      </c>
      <c r="C10" s="17" t="n">
        <v>0.8598</v>
      </c>
      <c r="D10" s="17" t="n">
        <v>412</v>
      </c>
      <c r="E10" s="17" t="n">
        <v>10.15</v>
      </c>
      <c r="F10" s="17" t="n">
        <v>10.81</v>
      </c>
      <c r="G10" s="17" t="n">
        <v>79.90000000000001</v>
      </c>
      <c r="H10" s="17" t="n">
        <v>6.48</v>
      </c>
      <c r="I10" s="17" t="n">
        <v>3.24</v>
      </c>
      <c r="J10" s="17" t="n">
        <v>0.754</v>
      </c>
    </row>
    <row r="11">
      <c r="A11" s="10" t="inlineStr">
        <is>
          <t>MTFS</t>
        </is>
      </c>
      <c r="B11" s="7" t="n">
        <v>0.496</v>
      </c>
      <c r="C11" s="7" t="n">
        <v>0.6633</v>
      </c>
      <c r="D11" s="7" t="n">
        <v>2698</v>
      </c>
      <c r="E11" s="7" t="n">
        <v>24.67</v>
      </c>
      <c r="F11" s="7" t="n">
        <v>27.53</v>
      </c>
      <c r="G11" s="7" t="n">
        <v>81</v>
      </c>
      <c r="H11" s="7" t="n">
        <v>0.7</v>
      </c>
      <c r="I11" s="7" t="n">
        <v>0.35</v>
      </c>
      <c r="J11" s="7" t="n">
        <v>3.161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2026-07-18T11:26:34Z</dcterms:created>
  <dcterms:modified xmlns:dcterms="http://purl.org/dc/terms/" xmlns:xsi="http://www.w3.org/2001/XMLSchema-instance" xsi:type="dcterms:W3CDTF">2026-07-18T11:26:34Z</dcterms:modified>
</cp:coreProperties>
</file>