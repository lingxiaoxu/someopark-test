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4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Trend'!$A$4:$A$185</f>
            </numRef>
          </cat>
          <val>
            <numRef>
              <f>'NAV Trend'!$B$4:$B$185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2026-07-22  ·  Generated 2026-07-23T06:19:13  ·  Scope: MRPT+MTFS pairs book (model-based, broker-reconciled)</t>
        </is>
      </c>
    </row>
    <row r="4">
      <c r="A4" s="3" t="inlineStr">
        <is>
          <t>NAV (equity)</t>
        </is>
      </c>
      <c r="B4" s="4" t="n">
        <v>1033920.04</v>
      </c>
    </row>
    <row r="5">
      <c r="A5" s="3" t="inlineStr">
        <is>
          <t>Gross leverage (x)</t>
        </is>
      </c>
      <c r="B5" s="5" t="n">
        <v>1.781</v>
      </c>
    </row>
    <row r="6">
      <c r="A6" s="3" t="inlineStr">
        <is>
          <t>Net leverage (x)</t>
        </is>
      </c>
      <c r="B6" s="6" t="n">
        <v>0.534</v>
      </c>
    </row>
    <row r="7">
      <c r="A7" s="3" t="inlineStr">
        <is>
          <t>Net market beta (target≈0)</t>
        </is>
      </c>
      <c r="B7" s="6" t="n">
        <v>0.359</v>
      </c>
    </row>
    <row r="8">
      <c r="A8" s="3" t="inlineStr">
        <is>
          <t>VaR 95% 1-day ($)</t>
        </is>
      </c>
      <c r="B8" s="4" t="n">
        <v>22885.29</v>
      </c>
    </row>
    <row r="9">
      <c r="A9" s="3" t="inlineStr">
        <is>
          <t>VaR 95% 1-day (% NAV)</t>
        </is>
      </c>
      <c r="B9" s="5" t="n">
        <v>2.21</v>
      </c>
    </row>
    <row r="10">
      <c r="A10" s="3" t="inlineStr">
        <is>
          <t>Annual vol (% NAV)</t>
        </is>
      </c>
      <c r="B10" s="5" t="n">
        <v>21.36</v>
      </c>
    </row>
    <row r="11">
      <c r="A11" s="3" t="inlineStr">
        <is>
          <t>Sharpe (annual)</t>
        </is>
      </c>
      <c r="B11" s="6" t="n">
        <v>0.702</v>
      </c>
    </row>
    <row r="12">
      <c r="A12" s="3" t="inlineStr">
        <is>
          <t>PSR( SR&gt;0 )</t>
        </is>
      </c>
      <c r="B12" s="6" t="n">
        <v>0.7233000000000001</v>
      </c>
    </row>
    <row r="13">
      <c r="A13" s="3" t="inlineStr">
        <is>
          <t>CDaR 95% (%)</t>
        </is>
      </c>
      <c r="B13" s="5" t="n">
        <v>14.49</v>
      </c>
    </row>
    <row r="14">
      <c r="A14" s="3" t="inlineStr">
        <is>
          <t>Kelly full / half (x)</t>
        </is>
      </c>
      <c r="B14" s="7" t="inlineStr">
        <is>
          <t>1.84 / 0.92</t>
        </is>
      </c>
    </row>
    <row r="15">
      <c r="A15" s="3" t="inlineStr">
        <is>
          <t>Actual gross leverage (x)</t>
        </is>
      </c>
      <c r="B15" s="5" t="n">
        <v>1.781</v>
      </c>
    </row>
    <row r="16">
      <c r="A16" s="3" t="inlineStr">
        <is>
          <t>Max single-name</t>
        </is>
      </c>
      <c r="B16" s="7" t="inlineStr">
        <is>
          <t>JBHT (34.88% NAV)</t>
        </is>
      </c>
    </row>
    <row r="17">
      <c r="A17" s="3" t="inlineStr">
        <is>
          <t>Max sector net (% gross)</t>
        </is>
      </c>
      <c r="B17" s="5" t="n">
        <v>14.77</v>
      </c>
    </row>
    <row r="18">
      <c r="A18" s="3" t="inlineStr">
        <is>
          <t>Open pairs</t>
        </is>
      </c>
      <c r="B18" s="5" t="n">
        <v>9</v>
      </c>
    </row>
    <row r="19">
      <c r="A19" s="3" t="inlineStr">
        <is>
          <t>Limit breaches</t>
        </is>
      </c>
      <c r="B19" s="5" t="n">
        <v>2</v>
      </c>
    </row>
    <row r="20">
      <c r="A20" s="3" t="inlineStr">
        <is>
          <t>Worst breach</t>
        </is>
      </c>
      <c r="B20" s="7" t="inlineStr">
        <is>
          <t>single_name_gross:JBHT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11065.94</v>
      </c>
      <c r="D5" s="11" t="n">
        <v>0</v>
      </c>
      <c r="E5" s="4" t="n">
        <v>910330.63</v>
      </c>
    </row>
    <row r="6">
      <c r="A6" s="12" t="inlineStr">
        <is>
          <t>Restricted Cash 受限现金 (PB 102%)</t>
        </is>
      </c>
      <c r="B6" s="13" t="n">
        <v>657817.9399999999</v>
      </c>
      <c r="C6" s="13" t="n">
        <v>593282.53</v>
      </c>
      <c r="D6" s="13" t="n">
        <v>993246.04</v>
      </c>
      <c r="E6" s="14" t="n">
        <v>0</v>
      </c>
    </row>
    <row r="7">
      <c r="A7" s="10" t="inlineStr">
        <is>
          <t>Long Securities 多头证券</t>
        </is>
      </c>
      <c r="B7" s="4" t="n">
        <v>1196852.16</v>
      </c>
      <c r="C7" s="4" t="n">
        <v>1010070.05</v>
      </c>
      <c r="D7" s="4" t="n">
        <v>1265165.23</v>
      </c>
      <c r="E7" s="4" t="n">
        <v>226623.72</v>
      </c>
    </row>
    <row r="8">
      <c r="A8" s="15" t="inlineStr">
        <is>
          <t>Total Assets 总资产</t>
        </is>
      </c>
      <c r="B8" s="13" t="n">
        <v>1854670.1</v>
      </c>
      <c r="C8" s="13" t="n">
        <v>1614418.52</v>
      </c>
      <c r="D8" s="13" t="n">
        <v>2258411.27</v>
      </c>
      <c r="E8" s="13" t="n">
        <v>1136954.35</v>
      </c>
    </row>
    <row r="9">
      <c r="A9" s="10" t="inlineStr">
        <is>
          <t>Short Securities 空头证券 (义务)</t>
        </is>
      </c>
      <c r="B9" s="4" t="n">
        <v>644919.55</v>
      </c>
      <c r="C9" s="4" t="n">
        <v>581649.54</v>
      </c>
      <c r="D9" s="4" t="n">
        <v>973770.63</v>
      </c>
      <c r="E9" s="11" t="n">
        <v>0</v>
      </c>
    </row>
    <row r="10">
      <c r="A10" s="12" t="inlineStr">
        <is>
          <t>Margin Loan 保证金借款</t>
        </is>
      </c>
      <c r="B10" s="13" t="n">
        <v>175830.51</v>
      </c>
      <c r="C10" s="14" t="n">
        <v>0</v>
      </c>
      <c r="D10" s="13" t="n">
        <v>238998.36</v>
      </c>
      <c r="E10" s="14" t="n">
        <v>0</v>
      </c>
    </row>
    <row r="11">
      <c r="A11" s="16" t="inlineStr">
        <is>
          <t>Total Liabilities 总负债</t>
        </is>
      </c>
      <c r="B11" s="4" t="n">
        <v>820750.0600000001</v>
      </c>
      <c r="C11" s="4" t="n">
        <v>581649.54</v>
      </c>
      <c r="D11" s="4" t="n">
        <v>1212768.99</v>
      </c>
      <c r="E11" s="11" t="n">
        <v>0</v>
      </c>
    </row>
    <row r="12">
      <c r="A12" s="15" t="inlineStr">
        <is>
          <t>NAV (Equity) 净值 = TA - TL</t>
        </is>
      </c>
      <c r="B12" s="13" t="n">
        <v>1033920.04</v>
      </c>
      <c r="C12" s="13" t="n">
        <v>1032768.98</v>
      </c>
      <c r="D12" s="13" t="n">
        <v>1045642.28</v>
      </c>
      <c r="E12" s="13" t="n">
        <v>1136954.35</v>
      </c>
    </row>
    <row r="13">
      <c r="A13" s="10" t="inlineStr">
        <is>
          <t>Gross Leverage 总杠杆 (x)</t>
        </is>
      </c>
      <c r="B13" s="7" t="n">
        <v>1.781</v>
      </c>
      <c r="C13" s="7" t="n">
        <v>1.541</v>
      </c>
      <c r="D13" s="7" t="n">
        <v>2.141</v>
      </c>
      <c r="E13" s="7" t="n">
        <v>0.199</v>
      </c>
    </row>
    <row r="14">
      <c r="A14" s="12" t="inlineStr">
        <is>
          <t>Net Leverage 净杠杆 (x)</t>
        </is>
      </c>
      <c r="B14" s="17" t="n">
        <v>0.534</v>
      </c>
      <c r="C14" s="17" t="n">
        <v>0.415</v>
      </c>
      <c r="D14" s="17" t="n">
        <v>0.279</v>
      </c>
      <c r="E14" s="17" t="n">
        <v>0.199</v>
      </c>
    </row>
    <row r="15">
      <c r="A15" s="10" t="inlineStr">
        <is>
          <t>PM Requirement (20%)</t>
        </is>
      </c>
      <c r="B15" s="4" t="n">
        <v>368354.34</v>
      </c>
      <c r="C15" s="4" t="n">
        <v>318343.92</v>
      </c>
      <c r="D15" s="4" t="n">
        <v>447787.17</v>
      </c>
      <c r="E15" s="4" t="n">
        <v>45324.74</v>
      </c>
    </row>
    <row r="16">
      <c r="A16" s="12" t="inlineStr">
        <is>
          <t>Excess Liquidity 超额流动性</t>
        </is>
      </c>
      <c r="B16" s="13" t="n">
        <v>665565.7</v>
      </c>
      <c r="C16" s="13" t="n">
        <v>714425.0600000001</v>
      </c>
      <c r="D16" s="13" t="n">
        <v>597855.11</v>
      </c>
      <c r="E16" s="13" t="n">
        <v>1091629.61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1033920.04</v>
      </c>
      <c r="C21" s="4" t="n">
        <v>1010070.05</v>
      </c>
      <c r="D21" s="4" t="n">
        <v>1045642.28</v>
      </c>
      <c r="E21" s="4" t="n">
        <v>226623.72</v>
      </c>
    </row>
    <row r="22">
      <c r="A22" s="12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1196852.16</v>
      </c>
      <c r="C23" s="4" t="n">
        <v>1010070.05</v>
      </c>
      <c r="D23" s="4" t="n">
        <v>1265165.23</v>
      </c>
      <c r="E23" s="4" t="n">
        <v>226623.72</v>
      </c>
    </row>
    <row r="24">
      <c r="A24" s="12" t="inlineStr">
        <is>
          <t>Long Book — Margin Loan 融资</t>
        </is>
      </c>
      <c r="B24" s="13" t="n">
        <v>162932.11</v>
      </c>
      <c r="C24" s="14" t="n">
        <v>0</v>
      </c>
      <c r="D24" s="13" t="n">
        <v>219522.95</v>
      </c>
      <c r="E24" s="14" t="n">
        <v>0</v>
      </c>
    </row>
    <row r="25">
      <c r="A25" s="16" t="inlineStr">
        <is>
          <t>Long Book — NAV</t>
        </is>
      </c>
      <c r="B25" s="4" t="n">
        <v>1033920.04</v>
      </c>
      <c r="C25" s="4" t="n">
        <v>1010070.05</v>
      </c>
      <c r="D25" s="4" t="n">
        <v>1045642.28</v>
      </c>
      <c r="E25" s="4" t="n">
        <v>226623.72</v>
      </c>
    </row>
    <row r="26">
      <c r="A26" s="12" t="inlineStr">
        <is>
          <t>Short Book — Allocated Capital 分配资本</t>
        </is>
      </c>
      <c r="B26" s="14" t="n">
        <v>0</v>
      </c>
      <c r="C26" s="13" t="n">
        <v>11632.99</v>
      </c>
      <c r="D26" s="14" t="n">
        <v>0</v>
      </c>
      <c r="E26" s="14" t="n">
        <v>0</v>
      </c>
    </row>
    <row r="27">
      <c r="A27" s="10" t="inlineStr">
        <is>
          <t>Short Book — Collateral 担保金</t>
        </is>
      </c>
      <c r="B27" s="11" t="n">
        <v>0</v>
      </c>
      <c r="C27" s="4" t="n">
        <v>11632.99</v>
      </c>
      <c r="D27" s="11" t="n">
        <v>0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644919.55</v>
      </c>
      <c r="C28" s="13" t="n">
        <v>581649.54</v>
      </c>
      <c r="D28" s="13" t="n">
        <v>973770.63</v>
      </c>
      <c r="E28" s="14" t="n">
        <v>0</v>
      </c>
    </row>
    <row r="29">
      <c r="A29" s="10" t="inlineStr">
        <is>
          <t>Short Book — Market Value 市值(负债)</t>
        </is>
      </c>
      <c r="B29" s="4" t="n">
        <v>644919.55</v>
      </c>
      <c r="C29" s="4" t="n">
        <v>581649.54</v>
      </c>
      <c r="D29" s="4" t="n">
        <v>973770.63</v>
      </c>
      <c r="E29" s="11" t="n">
        <v>0</v>
      </c>
    </row>
    <row r="30">
      <c r="A30" s="12" t="inlineStr">
        <is>
          <t>Short Book — Margin Loan 融资(2%)</t>
        </is>
      </c>
      <c r="B30" s="13" t="n">
        <v>12898.39</v>
      </c>
      <c r="C30" s="14" t="n">
        <v>0</v>
      </c>
      <c r="D30" s="13" t="n">
        <v>19475.41</v>
      </c>
      <c r="E30" s="14" t="n">
        <v>0</v>
      </c>
    </row>
    <row r="31">
      <c r="A31" s="16" t="inlineStr">
        <is>
          <t>Short Book — NAV</t>
        </is>
      </c>
      <c r="B31" s="11" t="n">
        <v>0</v>
      </c>
      <c r="C31" s="4" t="n">
        <v>11632.99</v>
      </c>
      <c r="D31" s="11" t="n">
        <v>0</v>
      </c>
      <c r="E31" s="11" t="n">
        <v>0</v>
      </c>
    </row>
    <row r="32">
      <c r="A32" s="12" t="inlineStr">
        <is>
          <t>Unallocated Cash 未分配现金</t>
        </is>
      </c>
      <c r="B32" s="14" t="n">
        <v>0</v>
      </c>
      <c r="C32" s="13" t="n">
        <v>11065.94</v>
      </c>
      <c r="D32" s="14" t="n">
        <v>0</v>
      </c>
      <c r="E32" s="13" t="n">
        <v>910330.63</v>
      </c>
    </row>
    <row r="33">
      <c r="A33" s="16" t="inlineStr">
        <is>
          <t>Dual-View NAV 双账户法NAV</t>
        </is>
      </c>
      <c r="B33" s="4" t="n">
        <v>1033920.04</v>
      </c>
      <c r="C33" s="4" t="n">
        <v>1032768.98</v>
      </c>
      <c r="D33" s="4" t="n">
        <v>1045642.28</v>
      </c>
      <c r="E33" s="4" t="n">
        <v>1136954.35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431876.72</v>
      </c>
      <c r="C39" s="4" t="n">
        <v>429068.66</v>
      </c>
      <c r="D39" s="4" t="n">
        <v>264985.35</v>
      </c>
      <c r="E39" s="4" t="n">
        <v>563366.83</v>
      </c>
    </row>
    <row r="40">
      <c r="A40" s="12" t="inlineStr">
        <is>
          <t>Restricted Cash 受限现金 (PB 102%)</t>
        </is>
      </c>
      <c r="B40" s="13" t="n">
        <v>130577.34</v>
      </c>
      <c r="C40" s="13" t="n">
        <v>133163.86</v>
      </c>
      <c r="D40" s="13" t="n">
        <v>301598.46</v>
      </c>
      <c r="E40" s="14" t="n">
        <v>0</v>
      </c>
    </row>
    <row r="41">
      <c r="A41" s="10" t="inlineStr">
        <is>
          <t>Long Securities 多头证券</t>
        </is>
      </c>
      <c r="B41" s="4" t="n">
        <v>129595.16</v>
      </c>
      <c r="C41" s="4" t="n">
        <v>127913.5</v>
      </c>
      <c r="D41" s="4" t="n">
        <v>295023.01</v>
      </c>
      <c r="E41" s="11" t="n">
        <v>0</v>
      </c>
    </row>
    <row r="42">
      <c r="A42" s="15" t="inlineStr">
        <is>
          <t>Total Assets 总资产</t>
        </is>
      </c>
      <c r="B42" s="13" t="n">
        <v>692049.22</v>
      </c>
      <c r="C42" s="13" t="n">
        <v>690146.02</v>
      </c>
      <c r="D42" s="13" t="n">
        <v>861606.8199999999</v>
      </c>
      <c r="E42" s="13" t="n">
        <v>563366.83</v>
      </c>
    </row>
    <row r="43">
      <c r="A43" s="10" t="inlineStr">
        <is>
          <t>Short Securities 空头证券 (义务)</t>
        </is>
      </c>
      <c r="B43" s="4" t="n">
        <v>128017</v>
      </c>
      <c r="C43" s="4" t="n">
        <v>130552.8</v>
      </c>
      <c r="D43" s="4" t="n">
        <v>295684.76</v>
      </c>
      <c r="E43" s="11" t="n">
        <v>0</v>
      </c>
    </row>
    <row r="44">
      <c r="A44" s="12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6" t="inlineStr">
        <is>
          <t>Total Liabilities 总负债</t>
        </is>
      </c>
      <c r="B45" s="4" t="n">
        <v>128017</v>
      </c>
      <c r="C45" s="4" t="n">
        <v>130552.8</v>
      </c>
      <c r="D45" s="4" t="n">
        <v>295684.76</v>
      </c>
      <c r="E45" s="11" t="n">
        <v>0</v>
      </c>
    </row>
    <row r="46">
      <c r="A46" s="15" t="inlineStr">
        <is>
          <t>NAV (Equity) 净值 = TA - TL</t>
        </is>
      </c>
      <c r="B46" s="13" t="n">
        <v>564032.22</v>
      </c>
      <c r="C46" s="13" t="n">
        <v>559593.22</v>
      </c>
      <c r="D46" s="13" t="n">
        <v>565922.0600000001</v>
      </c>
      <c r="E46" s="13" t="n">
        <v>563366.83</v>
      </c>
    </row>
    <row r="47">
      <c r="A47" s="10" t="inlineStr">
        <is>
          <t>Gross Leverage 总杠杆 (x)</t>
        </is>
      </c>
      <c r="B47" s="7" t="n">
        <v>0.457</v>
      </c>
      <c r="C47" s="7" t="n">
        <v>0.462</v>
      </c>
      <c r="D47" s="7" t="n">
        <v>1.044</v>
      </c>
      <c r="E47" s="7" t="n">
        <v>0</v>
      </c>
    </row>
    <row r="48">
      <c r="A48" s="12" t="inlineStr">
        <is>
          <t>Net Leverage 净杠杆 (x)</t>
        </is>
      </c>
      <c r="B48" s="17" t="n">
        <v>0.003</v>
      </c>
      <c r="C48" s="17" t="n">
        <v>-0.005</v>
      </c>
      <c r="D48" s="17" t="n">
        <v>-0.001</v>
      </c>
      <c r="E48" s="17" t="n">
        <v>0</v>
      </c>
    </row>
    <row r="49">
      <c r="A49" s="10" t="inlineStr">
        <is>
          <t>PM Requirement (20%)</t>
        </is>
      </c>
      <c r="B49" s="4" t="n">
        <v>51522.43</v>
      </c>
      <c r="C49" s="4" t="n">
        <v>51693.26</v>
      </c>
      <c r="D49" s="4" t="n">
        <v>118141.55</v>
      </c>
      <c r="E49" s="11" t="n">
        <v>0</v>
      </c>
    </row>
    <row r="50">
      <c r="A50" s="12" t="inlineStr">
        <is>
          <t>Excess Liquidity 超额流动性</t>
        </is>
      </c>
      <c r="B50" s="13" t="n">
        <v>512509.79</v>
      </c>
      <c r="C50" s="13" t="n">
        <v>507899.96</v>
      </c>
      <c r="D50" s="13" t="n">
        <v>447780.51</v>
      </c>
      <c r="E50" s="13" t="n">
        <v>563366.83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129595.16</v>
      </c>
      <c r="C55" s="4" t="n">
        <v>127913.5</v>
      </c>
      <c r="D55" s="4" t="n">
        <v>295023.01</v>
      </c>
      <c r="E55" s="11" t="n">
        <v>0</v>
      </c>
    </row>
    <row r="56">
      <c r="A56" s="12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129595.16</v>
      </c>
      <c r="C57" s="4" t="n">
        <v>127913.5</v>
      </c>
      <c r="D57" s="4" t="n">
        <v>295023.01</v>
      </c>
      <c r="E57" s="11" t="n">
        <v>0</v>
      </c>
    </row>
    <row r="58">
      <c r="A58" s="12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6" t="inlineStr">
        <is>
          <t>Long Book — NAV</t>
        </is>
      </c>
      <c r="B59" s="4" t="n">
        <v>129595.16</v>
      </c>
      <c r="C59" s="4" t="n">
        <v>127913.5</v>
      </c>
      <c r="D59" s="4" t="n">
        <v>295023.01</v>
      </c>
      <c r="E59" s="11" t="n">
        <v>0</v>
      </c>
    </row>
    <row r="60">
      <c r="A60" s="12" t="inlineStr">
        <is>
          <t>Short Book — Allocated Capital 分配资本</t>
        </is>
      </c>
      <c r="B60" s="13" t="n">
        <v>2560.34</v>
      </c>
      <c r="C60" s="13" t="n">
        <v>2611.06</v>
      </c>
      <c r="D60" s="13" t="n">
        <v>5913.7</v>
      </c>
      <c r="E60" s="14" t="n">
        <v>0</v>
      </c>
    </row>
    <row r="61">
      <c r="A61" s="10" t="inlineStr">
        <is>
          <t>Short Book — Collateral 担保金</t>
        </is>
      </c>
      <c r="B61" s="4" t="n">
        <v>2560.34</v>
      </c>
      <c r="C61" s="4" t="n">
        <v>2611.06</v>
      </c>
      <c r="D61" s="4" t="n">
        <v>5913.7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128017</v>
      </c>
      <c r="C62" s="13" t="n">
        <v>130552.8</v>
      </c>
      <c r="D62" s="13" t="n">
        <v>295684.76</v>
      </c>
      <c r="E62" s="14" t="n">
        <v>0</v>
      </c>
    </row>
    <row r="63">
      <c r="A63" s="10" t="inlineStr">
        <is>
          <t>Short Book — Market Value 市值(负债)</t>
        </is>
      </c>
      <c r="B63" s="4" t="n">
        <v>128017</v>
      </c>
      <c r="C63" s="4" t="n">
        <v>130552.8</v>
      </c>
      <c r="D63" s="4" t="n">
        <v>295684.76</v>
      </c>
      <c r="E63" s="11" t="n">
        <v>0</v>
      </c>
    </row>
    <row r="64">
      <c r="A64" s="12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6" t="inlineStr">
        <is>
          <t>Short Book — NAV</t>
        </is>
      </c>
      <c r="B65" s="4" t="n">
        <v>2560.34</v>
      </c>
      <c r="C65" s="4" t="n">
        <v>2611.06</v>
      </c>
      <c r="D65" s="4" t="n">
        <v>5913.7</v>
      </c>
      <c r="E65" s="11" t="n">
        <v>0</v>
      </c>
    </row>
    <row r="66">
      <c r="A66" s="12" t="inlineStr">
        <is>
          <t>Unallocated Cash 未分配现金</t>
        </is>
      </c>
      <c r="B66" s="13" t="n">
        <v>431876.72</v>
      </c>
      <c r="C66" s="13" t="n">
        <v>429068.66</v>
      </c>
      <c r="D66" s="13" t="n">
        <v>264985.35</v>
      </c>
      <c r="E66" s="13" t="n">
        <v>563366.83</v>
      </c>
    </row>
    <row r="67">
      <c r="A67" s="16" t="inlineStr">
        <is>
          <t>Dual-View NAV 双账户法NAV</t>
        </is>
      </c>
      <c r="B67" s="4" t="n">
        <v>564032.22</v>
      </c>
      <c r="C67" s="4" t="n">
        <v>559593.22</v>
      </c>
      <c r="D67" s="4" t="n">
        <v>565922.0600000001</v>
      </c>
      <c r="E67" s="4" t="n">
        <v>563366.83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346963.8</v>
      </c>
    </row>
    <row r="74">
      <c r="A74" s="12" t="inlineStr">
        <is>
          <t>Restricted Cash 受限现金 (PB 102%)</t>
        </is>
      </c>
      <c r="B74" s="13" t="n">
        <v>527240.6</v>
      </c>
      <c r="C74" s="13" t="n">
        <v>460118.67</v>
      </c>
      <c r="D74" s="13" t="n">
        <v>691647.59</v>
      </c>
      <c r="E74" s="14" t="n">
        <v>0</v>
      </c>
    </row>
    <row r="75">
      <c r="A75" s="10" t="inlineStr">
        <is>
          <t>Long Securities 多头证券</t>
        </is>
      </c>
      <c r="B75" s="4" t="n">
        <v>1067257</v>
      </c>
      <c r="C75" s="4" t="n">
        <v>882156.55</v>
      </c>
      <c r="D75" s="4" t="n">
        <v>970142.22</v>
      </c>
      <c r="E75" s="4" t="n">
        <v>226623.72</v>
      </c>
    </row>
    <row r="76">
      <c r="A76" s="15" t="inlineStr">
        <is>
          <t>Total Assets 总资产</t>
        </is>
      </c>
      <c r="B76" s="13" t="n">
        <v>1594497.6</v>
      </c>
      <c r="C76" s="13" t="n">
        <v>1342275.22</v>
      </c>
      <c r="D76" s="13" t="n">
        <v>1661789.81</v>
      </c>
      <c r="E76" s="13" t="n">
        <v>573587.52</v>
      </c>
    </row>
    <row r="77">
      <c r="A77" s="10" t="inlineStr">
        <is>
          <t>Short Securities 空头证券 (义务)</t>
        </is>
      </c>
      <c r="B77" s="4" t="n">
        <v>516902.55</v>
      </c>
      <c r="C77" s="4" t="n">
        <v>451096.74</v>
      </c>
      <c r="D77" s="4" t="n">
        <v>678085.87</v>
      </c>
      <c r="E77" s="11" t="n">
        <v>0</v>
      </c>
    </row>
    <row r="78">
      <c r="A78" s="12" t="inlineStr">
        <is>
          <t>Margin Loan 保证金借款</t>
        </is>
      </c>
      <c r="B78" s="13" t="n">
        <v>607707.22</v>
      </c>
      <c r="C78" s="13" t="n">
        <v>418002.72</v>
      </c>
      <c r="D78" s="13" t="n">
        <v>503983.72</v>
      </c>
      <c r="E78" s="14" t="n">
        <v>0</v>
      </c>
    </row>
    <row r="79">
      <c r="A79" s="16" t="inlineStr">
        <is>
          <t>Total Liabilities 总负债</t>
        </is>
      </c>
      <c r="B79" s="4" t="n">
        <v>1124609.77</v>
      </c>
      <c r="C79" s="4" t="n">
        <v>869099.46</v>
      </c>
      <c r="D79" s="4" t="n">
        <v>1182069.59</v>
      </c>
      <c r="E79" s="11" t="n">
        <v>0</v>
      </c>
    </row>
    <row r="80">
      <c r="A80" s="15" t="inlineStr">
        <is>
          <t>NAV (Equity) 净值 = TA - TL</t>
        </is>
      </c>
      <c r="B80" s="13" t="n">
        <v>469887.83</v>
      </c>
      <c r="C80" s="13" t="n">
        <v>473175.76</v>
      </c>
      <c r="D80" s="13" t="n">
        <v>479720.22</v>
      </c>
      <c r="E80" s="13" t="n">
        <v>573587.52</v>
      </c>
    </row>
    <row r="81">
      <c r="A81" s="10" t="inlineStr">
        <is>
          <t>Gross Leverage 总杠杆 (x)</t>
        </is>
      </c>
      <c r="B81" s="7" t="n">
        <v>3.371</v>
      </c>
      <c r="C81" s="7" t="n">
        <v>2.818</v>
      </c>
      <c r="D81" s="7" t="n">
        <v>3.436</v>
      </c>
      <c r="E81" s="7" t="n">
        <v>0.395</v>
      </c>
    </row>
    <row r="82">
      <c r="A82" s="12" t="inlineStr">
        <is>
          <t>Net Leverage 净杠杆 (x)</t>
        </is>
      </c>
      <c r="B82" s="17" t="n">
        <v>1.171</v>
      </c>
      <c r="C82" s="17" t="n">
        <v>0.911</v>
      </c>
      <c r="D82" s="17" t="n">
        <v>0.609</v>
      </c>
      <c r="E82" s="17" t="n">
        <v>0.395</v>
      </c>
    </row>
    <row r="83">
      <c r="A83" s="10" t="inlineStr">
        <is>
          <t>PM Requirement (20%)</t>
        </is>
      </c>
      <c r="B83" s="4" t="n">
        <v>316831.91</v>
      </c>
      <c r="C83" s="4" t="n">
        <v>266650.66</v>
      </c>
      <c r="D83" s="4" t="n">
        <v>329645.62</v>
      </c>
      <c r="E83" s="4" t="n">
        <v>45324.74</v>
      </c>
    </row>
    <row r="84">
      <c r="A84" s="12" t="inlineStr">
        <is>
          <t>Excess Liquidity 超额流动性</t>
        </is>
      </c>
      <c r="B84" s="13" t="n">
        <v>153055.92</v>
      </c>
      <c r="C84" s="13" t="n">
        <v>206525.1</v>
      </c>
      <c r="D84" s="13" t="n">
        <v>150074.6</v>
      </c>
      <c r="E84" s="13" t="n">
        <v>528262.78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469887.83</v>
      </c>
      <c r="C89" s="4" t="n">
        <v>473175.76</v>
      </c>
      <c r="D89" s="4" t="n">
        <v>479720.22</v>
      </c>
      <c r="E89" s="4" t="n">
        <v>226623.72</v>
      </c>
    </row>
    <row r="90">
      <c r="A90" s="12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1067257</v>
      </c>
      <c r="C91" s="4" t="n">
        <v>882156.55</v>
      </c>
      <c r="D91" s="4" t="n">
        <v>970142.22</v>
      </c>
      <c r="E91" s="4" t="n">
        <v>226623.72</v>
      </c>
    </row>
    <row r="92">
      <c r="A92" s="12" t="inlineStr">
        <is>
          <t>Long Book — Margin Loan 融资</t>
        </is>
      </c>
      <c r="B92" s="13" t="n">
        <v>597369.17</v>
      </c>
      <c r="C92" s="13" t="n">
        <v>408980.79</v>
      </c>
      <c r="D92" s="13" t="n">
        <v>490422</v>
      </c>
      <c r="E92" s="14" t="n">
        <v>0</v>
      </c>
    </row>
    <row r="93">
      <c r="A93" s="16" t="inlineStr">
        <is>
          <t>Long Book — NAV</t>
        </is>
      </c>
      <c r="B93" s="4" t="n">
        <v>469887.83</v>
      </c>
      <c r="C93" s="4" t="n">
        <v>473175.76</v>
      </c>
      <c r="D93" s="4" t="n">
        <v>479720.22</v>
      </c>
      <c r="E93" s="4" t="n">
        <v>226623.72</v>
      </c>
    </row>
    <row r="94">
      <c r="A94" s="12" t="inlineStr">
        <is>
          <t>Short Book — Allocated Capital 分配资本</t>
        </is>
      </c>
      <c r="B94" s="14" t="n">
        <v>0</v>
      </c>
      <c r="C94" s="14" t="n">
        <v>0</v>
      </c>
      <c r="D94" s="14" t="n">
        <v>0</v>
      </c>
      <c r="E94" s="14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516902.55</v>
      </c>
      <c r="C96" s="13" t="n">
        <v>451096.74</v>
      </c>
      <c r="D96" s="13" t="n">
        <v>678085.87</v>
      </c>
      <c r="E96" s="14" t="n">
        <v>0</v>
      </c>
    </row>
    <row r="97">
      <c r="A97" s="10" t="inlineStr">
        <is>
          <t>Short Book — Market Value 市值(负债)</t>
        </is>
      </c>
      <c r="B97" s="4" t="n">
        <v>516902.55</v>
      </c>
      <c r="C97" s="4" t="n">
        <v>451096.74</v>
      </c>
      <c r="D97" s="4" t="n">
        <v>678085.87</v>
      </c>
      <c r="E97" s="11" t="n">
        <v>0</v>
      </c>
    </row>
    <row r="98">
      <c r="A98" s="12" t="inlineStr">
        <is>
          <t>Short Book — Margin Loan 融资(2%)</t>
        </is>
      </c>
      <c r="B98" s="13" t="n">
        <v>10338.05</v>
      </c>
      <c r="C98" s="13" t="n">
        <v>9021.93</v>
      </c>
      <c r="D98" s="13" t="n">
        <v>13561.72</v>
      </c>
      <c r="E98" s="14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4" t="n">
        <v>-0</v>
      </c>
      <c r="C100" s="14" t="n">
        <v>0</v>
      </c>
      <c r="D100" s="14" t="n">
        <v>0</v>
      </c>
      <c r="E100" s="13" t="n">
        <v>346963.8</v>
      </c>
    </row>
    <row r="101">
      <c r="A101" s="16" t="inlineStr">
        <is>
          <t>Dual-View NAV 双账户法NAV</t>
        </is>
      </c>
      <c r="B101" s="4" t="n">
        <v>469887.83</v>
      </c>
      <c r="C101" s="4" t="n">
        <v>473175.76</v>
      </c>
      <c r="D101" s="4" t="n">
        <v>479720.22</v>
      </c>
      <c r="E101" s="4" t="n">
        <v>573587.52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1151.06</v>
      </c>
      <c r="C5" s="18" t="n">
        <v>-11722.24</v>
      </c>
      <c r="D5" s="18" t="n">
        <v>-103034.31</v>
      </c>
      <c r="E5" s="4" t="n">
        <v>112421.25</v>
      </c>
    </row>
    <row r="6">
      <c r="A6" s="12" t="inlineStr">
        <is>
          <t>Interest expense (est)</t>
        </is>
      </c>
      <c r="B6" s="14" t="n">
        <v>24.09</v>
      </c>
      <c r="C6" s="13" t="n">
        <v>120.43</v>
      </c>
      <c r="D6" s="13" t="n">
        <v>505.81</v>
      </c>
      <c r="E6" s="13" t="n">
        <v>4383.72</v>
      </c>
    </row>
    <row r="7">
      <c r="A7" s="10" t="inlineStr">
        <is>
          <t>Current unrealized PnL</t>
        </is>
      </c>
      <c r="B7" s="4" t="n">
        <v>17289.87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4439</v>
      </c>
      <c r="C11" s="18" t="n">
        <v>-1889.84</v>
      </c>
      <c r="D11" s="4" t="n">
        <v>665.39</v>
      </c>
      <c r="E11" s="4" t="n">
        <v>54700.28</v>
      </c>
    </row>
    <row r="12">
      <c r="A12" s="12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4" t="n">
        <v>9182.639999999999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18" t="n">
        <v>-3287.93</v>
      </c>
      <c r="C17" s="18" t="n">
        <v>-9832.389999999999</v>
      </c>
      <c r="D17" s="18" t="n">
        <v>-103699.69</v>
      </c>
      <c r="E17" s="4" t="n">
        <v>57720.98</v>
      </c>
    </row>
    <row r="18">
      <c r="A18" s="12" t="inlineStr">
        <is>
          <t>Interest expense (est)</t>
        </is>
      </c>
      <c r="B18" s="14" t="n">
        <v>83.25</v>
      </c>
      <c r="C18" s="13" t="n">
        <v>416.24</v>
      </c>
      <c r="D18" s="13" t="n">
        <v>1748.2</v>
      </c>
      <c r="E18" s="13" t="n">
        <v>15151.06</v>
      </c>
    </row>
    <row r="19">
      <c r="A19" s="10" t="inlineStr">
        <is>
          <t>Current unrealized PnL</t>
        </is>
      </c>
      <c r="B19" s="4" t="n">
        <v>8107.23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1032768.98</v>
      </c>
      <c r="C5" s="4" t="n">
        <v>1045642.28</v>
      </c>
      <c r="D5" s="4" t="n">
        <v>1136954.35</v>
      </c>
      <c r="E5" s="4" t="n">
        <v>921498.79</v>
      </c>
    </row>
    <row r="6">
      <c r="A6" s="12" t="inlineStr">
        <is>
          <t>Net income</t>
        </is>
      </c>
      <c r="B6" s="13" t="n">
        <v>1151.06</v>
      </c>
      <c r="C6" s="19" t="n">
        <v>-11722.24</v>
      </c>
      <c r="D6" s="19" t="n">
        <v>-103034.31</v>
      </c>
      <c r="E6" s="13" t="n">
        <v>112421.25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6" t="inlineStr">
        <is>
          <t>Ending NAV</t>
        </is>
      </c>
      <c r="B9" s="4" t="n">
        <v>1033920.04</v>
      </c>
      <c r="C9" s="4" t="n">
        <v>1033920.04</v>
      </c>
      <c r="D9" s="4" t="n">
        <v>1033920.04</v>
      </c>
      <c r="E9" s="4" t="n">
        <v>1033920.04</v>
      </c>
    </row>
    <row r="10">
      <c r="A10" s="12" t="inlineStr">
        <is>
          <t>Return (%)</t>
        </is>
      </c>
      <c r="B10" s="20" t="n">
        <v>0.11</v>
      </c>
      <c r="C10" s="21" t="n">
        <v>-1.12</v>
      </c>
      <c r="D10" s="21" t="n">
        <v>-9.06</v>
      </c>
      <c r="E10" s="20" t="n">
        <v>12.2</v>
      </c>
    </row>
    <row r="11">
      <c r="A11" s="10" t="inlineStr">
        <is>
          <t>Max drawdown (%)</t>
        </is>
      </c>
      <c r="B11" s="22" t="n">
        <v>0</v>
      </c>
      <c r="C11" s="23" t="n">
        <v>-1.67</v>
      </c>
      <c r="D11" s="23" t="n">
        <v>-14.93</v>
      </c>
      <c r="E11" s="23" t="n">
        <v>-14.93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559593.22</v>
      </c>
      <c r="C15" s="4" t="n">
        <v>565922.0600000001</v>
      </c>
      <c r="D15" s="4" t="n">
        <v>563366.83</v>
      </c>
      <c r="E15" s="4" t="n">
        <v>509331.94</v>
      </c>
    </row>
    <row r="16">
      <c r="A16" s="12" t="inlineStr">
        <is>
          <t>Net income</t>
        </is>
      </c>
      <c r="B16" s="13" t="n">
        <v>4439</v>
      </c>
      <c r="C16" s="19" t="n">
        <v>-1889.84</v>
      </c>
      <c r="D16" s="13" t="n">
        <v>665.39</v>
      </c>
      <c r="E16" s="13" t="n">
        <v>54700.28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6" t="inlineStr">
        <is>
          <t>Ending NAV</t>
        </is>
      </c>
      <c r="B19" s="4" t="n">
        <v>564032.22</v>
      </c>
      <c r="C19" s="4" t="n">
        <v>564032.22</v>
      </c>
      <c r="D19" s="4" t="n">
        <v>564032.22</v>
      </c>
      <c r="E19" s="4" t="n">
        <v>564032.22</v>
      </c>
    </row>
    <row r="20">
      <c r="A20" s="12" t="inlineStr">
        <is>
          <t>Return (%)</t>
        </is>
      </c>
      <c r="B20" s="20" t="n">
        <v>0.79</v>
      </c>
      <c r="C20" s="21" t="n">
        <v>-0.33</v>
      </c>
      <c r="D20" s="20" t="n">
        <v>0.12</v>
      </c>
      <c r="E20" s="20" t="n">
        <v>10.74</v>
      </c>
    </row>
    <row r="21">
      <c r="A21" s="10" t="inlineStr">
        <is>
          <t>Max drawdown (%)</t>
        </is>
      </c>
      <c r="B21" s="22" t="n">
        <v>0</v>
      </c>
      <c r="C21" s="23" t="n">
        <v>-1.96</v>
      </c>
      <c r="D21" s="23" t="n">
        <v>-3.91</v>
      </c>
      <c r="E21" s="23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473175.76</v>
      </c>
      <c r="C25" s="4" t="n">
        <v>479720.22</v>
      </c>
      <c r="D25" s="4" t="n">
        <v>573587.52</v>
      </c>
      <c r="E25" s="4" t="n">
        <v>412166.85</v>
      </c>
    </row>
    <row r="26">
      <c r="A26" s="12" t="inlineStr">
        <is>
          <t>Net income</t>
        </is>
      </c>
      <c r="B26" s="19" t="n">
        <v>-3287.93</v>
      </c>
      <c r="C26" s="19" t="n">
        <v>-9832.389999999999</v>
      </c>
      <c r="D26" s="19" t="n">
        <v>-103699.69</v>
      </c>
      <c r="E26" s="13" t="n">
        <v>57720.98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6" t="inlineStr">
        <is>
          <t>Ending NAV</t>
        </is>
      </c>
      <c r="B29" s="4" t="n">
        <v>469887.83</v>
      </c>
      <c r="C29" s="4" t="n">
        <v>469887.83</v>
      </c>
      <c r="D29" s="4" t="n">
        <v>469887.83</v>
      </c>
      <c r="E29" s="4" t="n">
        <v>469887.83</v>
      </c>
    </row>
    <row r="30">
      <c r="A30" s="12" t="inlineStr">
        <is>
          <t>Return (%)</t>
        </is>
      </c>
      <c r="B30" s="21" t="n">
        <v>-0.6899999999999999</v>
      </c>
      <c r="C30" s="21" t="n">
        <v>-2.05</v>
      </c>
      <c r="D30" s="21" t="n">
        <v>-18.08</v>
      </c>
      <c r="E30" s="20" t="n">
        <v>14</v>
      </c>
    </row>
    <row r="31">
      <c r="A31" s="10" t="inlineStr">
        <is>
          <t>Max drawdown (%)</t>
        </is>
      </c>
      <c r="B31" s="23" t="n">
        <v>-0.6899999999999999</v>
      </c>
      <c r="C31" s="23" t="n">
        <v>-4.65</v>
      </c>
      <c r="D31" s="23" t="n">
        <v>-27.53</v>
      </c>
      <c r="E31" s="23" t="n">
        <v>-27.53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-11722.24</v>
      </c>
    </row>
    <row r="5">
      <c r="A5" s="3" t="inlineStr">
        <is>
          <t>Investing cash flow</t>
        </is>
      </c>
      <c r="B5" s="18" t="n">
        <v>-260538.01</v>
      </c>
    </row>
    <row r="6">
      <c r="A6" s="3" t="inlineStr">
        <is>
          <t>Financing cash flow</t>
        </is>
      </c>
      <c r="B6" s="18" t="n">
        <v>-63167.85</v>
      </c>
    </row>
    <row r="7">
      <c r="A7" s="3" t="inlineStr">
        <is>
          <t>Net change in cash</t>
        </is>
      </c>
      <c r="B7" s="18" t="n">
        <v>-335428.1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1011152.93</v>
      </c>
    </row>
    <row r="97">
      <c r="A97" s="12" t="inlineStr">
        <is>
          <t>2026-03-20</t>
        </is>
      </c>
      <c r="B97" s="13" t="n">
        <v>1025203.75</v>
      </c>
    </row>
    <row r="98">
      <c r="A98" s="10" t="inlineStr">
        <is>
          <t>2026-03-23</t>
        </is>
      </c>
      <c r="B98" s="4" t="n">
        <v>1026798.12</v>
      </c>
    </row>
    <row r="99">
      <c r="A99" s="12" t="inlineStr">
        <is>
          <t>2026-03-24</t>
        </is>
      </c>
      <c r="B99" s="13" t="n">
        <v>1015316.64</v>
      </c>
    </row>
    <row r="100">
      <c r="A100" s="10" t="inlineStr">
        <is>
          <t>2026-03-25</t>
        </is>
      </c>
      <c r="B100" s="4" t="n">
        <v>1003094.11</v>
      </c>
    </row>
    <row r="101">
      <c r="A101" s="12" t="inlineStr">
        <is>
          <t>2026-03-26</t>
        </is>
      </c>
      <c r="B101" s="13" t="n">
        <v>1013188.14</v>
      </c>
    </row>
    <row r="102">
      <c r="A102" s="10" t="inlineStr">
        <is>
          <t>2026-03-27</t>
        </is>
      </c>
      <c r="B102" s="4" t="n">
        <v>1026869.69</v>
      </c>
    </row>
    <row r="103">
      <c r="A103" s="12" t="inlineStr">
        <is>
          <t>2026-03-30</t>
        </is>
      </c>
      <c r="B103" s="13" t="n">
        <v>1053826.51</v>
      </c>
    </row>
    <row r="104">
      <c r="A104" s="10" t="inlineStr">
        <is>
          <t>2026-03-31</t>
        </is>
      </c>
      <c r="B104" s="4" t="n">
        <v>1051171.62</v>
      </c>
    </row>
    <row r="105">
      <c r="A105" s="12" t="inlineStr">
        <is>
          <t>2026-04-01</t>
        </is>
      </c>
      <c r="B105" s="13" t="n">
        <v>1049830.43</v>
      </c>
    </row>
    <row r="106">
      <c r="A106" s="10" t="inlineStr">
        <is>
          <t>2026-04-02</t>
        </is>
      </c>
      <c r="B106" s="4" t="n">
        <v>1049396.07</v>
      </c>
    </row>
    <row r="107">
      <c r="A107" s="12" t="inlineStr">
        <is>
          <t>2026-04-03</t>
        </is>
      </c>
      <c r="B107" s="13" t="n">
        <v>1043103.42</v>
      </c>
    </row>
    <row r="108">
      <c r="A108" s="10" t="inlineStr">
        <is>
          <t>2026-04-06</t>
        </is>
      </c>
      <c r="B108" s="4" t="n">
        <v>1048879.94</v>
      </c>
    </row>
    <row r="109">
      <c r="A109" s="12" t="inlineStr">
        <is>
          <t>2026-04-07</t>
        </is>
      </c>
      <c r="B109" s="13" t="n">
        <v>1042969.81</v>
      </c>
    </row>
    <row r="110">
      <c r="A110" s="10" t="inlineStr">
        <is>
          <t>2026-04-08</t>
        </is>
      </c>
      <c r="B110" s="4" t="n">
        <v>1044464.12</v>
      </c>
    </row>
    <row r="111">
      <c r="A111" s="12" t="inlineStr">
        <is>
          <t>2026-04-09</t>
        </is>
      </c>
      <c r="B111" s="13" t="n">
        <v>1070572.9</v>
      </c>
    </row>
    <row r="112">
      <c r="A112" s="10" t="inlineStr">
        <is>
          <t>2026-04-10</t>
        </is>
      </c>
      <c r="B112" s="4" t="n">
        <v>1061693.17</v>
      </c>
    </row>
    <row r="113">
      <c r="A113" s="12" t="inlineStr">
        <is>
          <t>2026-04-13</t>
        </is>
      </c>
      <c r="B113" s="13" t="n">
        <v>1074906.5</v>
      </c>
    </row>
    <row r="114">
      <c r="A114" s="10" t="inlineStr">
        <is>
          <t>2026-04-14</t>
        </is>
      </c>
      <c r="B114" s="4" t="n">
        <v>1080476.61</v>
      </c>
    </row>
    <row r="115">
      <c r="A115" s="12" t="inlineStr">
        <is>
          <t>2026-04-15</t>
        </is>
      </c>
      <c r="B115" s="13" t="n">
        <v>1086805.22</v>
      </c>
    </row>
    <row r="116">
      <c r="A116" s="10" t="inlineStr">
        <is>
          <t>2026-04-16</t>
        </is>
      </c>
      <c r="B116" s="4" t="n">
        <v>1071844.52</v>
      </c>
    </row>
    <row r="117">
      <c r="A117" s="12" t="inlineStr">
        <is>
          <t>2026-04-17</t>
        </is>
      </c>
      <c r="B117" s="13" t="n">
        <v>1065512.49</v>
      </c>
    </row>
    <row r="118">
      <c r="A118" s="10" t="inlineStr">
        <is>
          <t>2026-04-20</t>
        </is>
      </c>
      <c r="B118" s="4" t="n">
        <v>1080471.73</v>
      </c>
    </row>
    <row r="119">
      <c r="A119" s="12" t="inlineStr">
        <is>
          <t>2026-04-21</t>
        </is>
      </c>
      <c r="B119" s="13" t="n">
        <v>1075387.09</v>
      </c>
    </row>
    <row r="120">
      <c r="A120" s="10" t="inlineStr">
        <is>
          <t>2026-04-22</t>
        </is>
      </c>
      <c r="B120" s="4" t="n">
        <v>1070767.8</v>
      </c>
    </row>
    <row r="121">
      <c r="A121" s="12" t="inlineStr">
        <is>
          <t>2026-04-23</t>
        </is>
      </c>
      <c r="B121" s="13" t="n">
        <v>1073380.26</v>
      </c>
    </row>
    <row r="122">
      <c r="A122" s="10" t="inlineStr">
        <is>
          <t>2026-04-24</t>
        </is>
      </c>
      <c r="B122" s="4" t="n">
        <v>1073932.32</v>
      </c>
    </row>
    <row r="123">
      <c r="A123" s="12" t="inlineStr">
        <is>
          <t>2026-04-27</t>
        </is>
      </c>
      <c r="B123" s="13" t="n">
        <v>1084201.55</v>
      </c>
    </row>
    <row r="124">
      <c r="A124" s="10" t="inlineStr">
        <is>
          <t>2026-04-28</t>
        </is>
      </c>
      <c r="B124" s="4" t="n">
        <v>1085191.55</v>
      </c>
    </row>
    <row r="125">
      <c r="A125" s="12" t="inlineStr">
        <is>
          <t>2026-04-29</t>
        </is>
      </c>
      <c r="B125" s="13" t="n">
        <v>1092278.35</v>
      </c>
    </row>
    <row r="126">
      <c r="A126" s="10" t="inlineStr">
        <is>
          <t>2026-04-30</t>
        </is>
      </c>
      <c r="B126" s="4" t="n">
        <v>1092419.98</v>
      </c>
    </row>
    <row r="127">
      <c r="A127" s="12" t="inlineStr">
        <is>
          <t>2026-05-01</t>
        </is>
      </c>
      <c r="B127" s="13" t="n">
        <v>1052622.77</v>
      </c>
    </row>
    <row r="128">
      <c r="A128" s="10" t="inlineStr">
        <is>
          <t>2026-05-04</t>
        </is>
      </c>
      <c r="B128" s="4" t="n">
        <v>1048988.57</v>
      </c>
    </row>
    <row r="129">
      <c r="A129" s="12" t="inlineStr">
        <is>
          <t>2026-05-05</t>
        </is>
      </c>
      <c r="B129" s="13" t="n">
        <v>1043443.89</v>
      </c>
    </row>
    <row r="130">
      <c r="A130" s="10" t="inlineStr">
        <is>
          <t>2026-05-06</t>
        </is>
      </c>
      <c r="B130" s="4" t="n">
        <v>1032010.46</v>
      </c>
    </row>
    <row r="131">
      <c r="A131" s="12" t="inlineStr">
        <is>
          <t>2026-05-07</t>
        </is>
      </c>
      <c r="B131" s="13" t="n">
        <v>1039123.4</v>
      </c>
    </row>
    <row r="132">
      <c r="A132" s="10" t="inlineStr">
        <is>
          <t>2026-05-08</t>
        </is>
      </c>
      <c r="B132" s="4" t="n">
        <v>1037005.25</v>
      </c>
    </row>
    <row r="133">
      <c r="A133" s="12" t="inlineStr">
        <is>
          <t>2026-05-11</t>
        </is>
      </c>
      <c r="B133" s="13" t="n">
        <v>1018843.42</v>
      </c>
    </row>
    <row r="134">
      <c r="A134" s="10" t="inlineStr">
        <is>
          <t>2026-05-12</t>
        </is>
      </c>
      <c r="B134" s="4" t="n">
        <v>1013784.25</v>
      </c>
    </row>
    <row r="135">
      <c r="A135" s="12" t="inlineStr">
        <is>
          <t>2026-05-13</t>
        </is>
      </c>
      <c r="B135" s="13" t="n">
        <v>999007.6</v>
      </c>
    </row>
    <row r="136">
      <c r="A136" s="10" t="inlineStr">
        <is>
          <t>2026-05-14</t>
        </is>
      </c>
      <c r="B136" s="4" t="n">
        <v>1011015.36</v>
      </c>
    </row>
    <row r="137">
      <c r="A137" s="12" t="inlineStr">
        <is>
          <t>2026-05-15</t>
        </is>
      </c>
      <c r="B137" s="13" t="n">
        <v>1014113.13</v>
      </c>
    </row>
    <row r="138">
      <c r="A138" s="10" t="inlineStr">
        <is>
          <t>2026-05-18</t>
        </is>
      </c>
      <c r="B138" s="4" t="n">
        <v>1011456.35</v>
      </c>
    </row>
    <row r="139">
      <c r="A139" s="12" t="inlineStr">
        <is>
          <t>2026-05-19</t>
        </is>
      </c>
      <c r="B139" s="13" t="n">
        <v>998034.88</v>
      </c>
    </row>
    <row r="140">
      <c r="A140" s="10" t="inlineStr">
        <is>
          <t>2026-05-20</t>
        </is>
      </c>
      <c r="B140" s="4" t="n">
        <v>1014111.94</v>
      </c>
    </row>
    <row r="141">
      <c r="A141" s="12" t="inlineStr">
        <is>
          <t>2026-05-21</t>
        </is>
      </c>
      <c r="B141" s="13" t="n">
        <v>1023225.63</v>
      </c>
    </row>
    <row r="142">
      <c r="A142" s="10" t="inlineStr">
        <is>
          <t>2026-05-22</t>
        </is>
      </c>
      <c r="B142" s="4" t="n">
        <v>1023499.07</v>
      </c>
    </row>
    <row r="143">
      <c r="A143" s="12" t="inlineStr">
        <is>
          <t>2026-05-25</t>
        </is>
      </c>
      <c r="B143" s="13" t="n">
        <v>996501.8100000001</v>
      </c>
    </row>
    <row r="144">
      <c r="A144" s="10" t="inlineStr">
        <is>
          <t>2026-05-26</t>
        </is>
      </c>
      <c r="B144" s="4" t="n">
        <v>1016460.29</v>
      </c>
    </row>
    <row r="145">
      <c r="A145" s="12" t="inlineStr">
        <is>
          <t>2026-05-27</t>
        </is>
      </c>
      <c r="B145" s="13" t="n">
        <v>997618.97</v>
      </c>
    </row>
    <row r="146">
      <c r="A146" s="10" t="inlineStr">
        <is>
          <t>2026-05-28</t>
        </is>
      </c>
      <c r="B146" s="4" t="n">
        <v>991120.38</v>
      </c>
    </row>
    <row r="147">
      <c r="A147" s="12" t="inlineStr">
        <is>
          <t>2026-05-29</t>
        </is>
      </c>
      <c r="B147" s="13" t="n">
        <v>988891.0600000001</v>
      </c>
    </row>
    <row r="148">
      <c r="A148" s="10" t="inlineStr">
        <is>
          <t>2026-06-01</t>
        </is>
      </c>
      <c r="B148" s="4" t="n">
        <v>1004533.77</v>
      </c>
    </row>
    <row r="149">
      <c r="A149" s="12" t="inlineStr">
        <is>
          <t>2026-06-02</t>
        </is>
      </c>
      <c r="B149" s="13" t="n">
        <v>1100152.16</v>
      </c>
    </row>
    <row r="150">
      <c r="A150" s="10" t="inlineStr">
        <is>
          <t>2026-06-03</t>
        </is>
      </c>
      <c r="B150" s="4" t="n">
        <v>1108980.36</v>
      </c>
    </row>
    <row r="151">
      <c r="A151" s="12" t="inlineStr">
        <is>
          <t>2026-06-04</t>
        </is>
      </c>
      <c r="B151" s="13" t="n">
        <v>1112343.47</v>
      </c>
    </row>
    <row r="152">
      <c r="A152" s="10" t="inlineStr">
        <is>
          <t>2026-06-05</t>
        </is>
      </c>
      <c r="B152" s="4" t="n">
        <v>1007040.17</v>
      </c>
    </row>
    <row r="153">
      <c r="A153" s="12" t="inlineStr">
        <is>
          <t>2026-06-08</t>
        </is>
      </c>
      <c r="B153" s="13" t="n">
        <v>1064027.7</v>
      </c>
    </row>
    <row r="154">
      <c r="A154" s="10" t="inlineStr">
        <is>
          <t>2026-06-09</t>
        </is>
      </c>
      <c r="B154" s="4" t="n">
        <v>1055878.89</v>
      </c>
    </row>
    <row r="155">
      <c r="A155" s="12" t="inlineStr">
        <is>
          <t>2026-06-10</t>
        </is>
      </c>
      <c r="B155" s="13" t="n">
        <v>1054747.42</v>
      </c>
    </row>
    <row r="156">
      <c r="A156" s="10" t="inlineStr">
        <is>
          <t>2026-06-11</t>
        </is>
      </c>
      <c r="B156" s="4" t="n">
        <v>1136657.92</v>
      </c>
    </row>
    <row r="157">
      <c r="A157" s="12" t="inlineStr">
        <is>
          <t>2026-06-12</t>
        </is>
      </c>
      <c r="B157" s="13" t="n">
        <v>1149148.36</v>
      </c>
    </row>
    <row r="158">
      <c r="A158" s="10" t="inlineStr">
        <is>
          <t>2026-06-15</t>
        </is>
      </c>
      <c r="B158" s="4" t="n">
        <v>1149739.74</v>
      </c>
    </row>
    <row r="159">
      <c r="A159" s="12" t="inlineStr">
        <is>
          <t>2026-06-16</t>
        </is>
      </c>
      <c r="B159" s="13" t="n">
        <v>1116585.6</v>
      </c>
    </row>
    <row r="160">
      <c r="A160" s="10" t="inlineStr">
        <is>
          <t>2026-06-17</t>
        </is>
      </c>
      <c r="B160" s="4" t="n">
        <v>1126897.23</v>
      </c>
    </row>
    <row r="161">
      <c r="A161" s="12" t="inlineStr">
        <is>
          <t>2026-06-18</t>
        </is>
      </c>
      <c r="B161" s="13" t="n">
        <v>1144060.16</v>
      </c>
    </row>
    <row r="162">
      <c r="A162" s="10" t="inlineStr">
        <is>
          <t>2026-06-19</t>
        </is>
      </c>
      <c r="B162" s="4" t="n">
        <v>1100640.62</v>
      </c>
    </row>
    <row r="163">
      <c r="A163" s="12" t="inlineStr">
        <is>
          <t>2026-06-22</t>
        </is>
      </c>
      <c r="B163" s="13" t="n">
        <v>1160611.61</v>
      </c>
    </row>
    <row r="164">
      <c r="A164" s="10" t="inlineStr">
        <is>
          <t>2026-06-23</t>
        </is>
      </c>
      <c r="B164" s="4" t="n">
        <v>1136954.35</v>
      </c>
    </row>
    <row r="165">
      <c r="A165" s="12" t="inlineStr">
        <is>
          <t>2026-06-24</t>
        </is>
      </c>
      <c r="B165" s="13" t="n">
        <v>1106580.88</v>
      </c>
    </row>
    <row r="166">
      <c r="A166" s="10" t="inlineStr">
        <is>
          <t>2026-06-25</t>
        </is>
      </c>
      <c r="B166" s="4" t="n">
        <v>1126221.28</v>
      </c>
    </row>
    <row r="167">
      <c r="A167" s="12" t="inlineStr">
        <is>
          <t>2026-06-26</t>
        </is>
      </c>
      <c r="B167" s="13" t="n">
        <v>1138119.7</v>
      </c>
    </row>
    <row r="168">
      <c r="A168" s="10" t="inlineStr">
        <is>
          <t>2026-06-29</t>
        </is>
      </c>
      <c r="B168" s="4" t="n">
        <v>1203718.49</v>
      </c>
    </row>
    <row r="169">
      <c r="A169" s="12" t="inlineStr">
        <is>
          <t>2026-06-30</t>
        </is>
      </c>
      <c r="B169" s="13" t="n">
        <v>1208575.95</v>
      </c>
    </row>
    <row r="170">
      <c r="A170" s="10" t="inlineStr">
        <is>
          <t>2026-07-01</t>
        </is>
      </c>
      <c r="B170" s="4" t="n">
        <v>1116178.67</v>
      </c>
    </row>
    <row r="171">
      <c r="A171" s="12" t="inlineStr">
        <is>
          <t>2026-07-02</t>
        </is>
      </c>
      <c r="B171" s="13" t="n">
        <v>1056055.07</v>
      </c>
    </row>
    <row r="172">
      <c r="A172" s="10" t="inlineStr">
        <is>
          <t>2026-07-03</t>
        </is>
      </c>
      <c r="B172" s="4" t="n">
        <v>1085775.48</v>
      </c>
    </row>
    <row r="173">
      <c r="A173" s="12" t="inlineStr">
        <is>
          <t>2026-07-06</t>
        </is>
      </c>
      <c r="B173" s="13" t="n">
        <v>1047433.89</v>
      </c>
    </row>
    <row r="174">
      <c r="A174" s="10" t="inlineStr">
        <is>
          <t>2026-07-07</t>
        </is>
      </c>
      <c r="B174" s="4" t="n">
        <v>1045730.23</v>
      </c>
    </row>
    <row r="175">
      <c r="A175" s="12" t="inlineStr">
        <is>
          <t>2026-07-08</t>
        </is>
      </c>
      <c r="B175" s="13" t="n">
        <v>1029150.1</v>
      </c>
    </row>
    <row r="176">
      <c r="A176" s="10" t="inlineStr">
        <is>
          <t>2026-07-09</t>
        </is>
      </c>
      <c r="B176" s="4" t="n">
        <v>1039154.92</v>
      </c>
    </row>
    <row r="177">
      <c r="A177" s="12" t="inlineStr">
        <is>
          <t>2026-07-10</t>
        </is>
      </c>
      <c r="B177" s="13" t="n">
        <v>1036965.2</v>
      </c>
    </row>
    <row r="178">
      <c r="A178" s="10" t="inlineStr">
        <is>
          <t>2026-07-13</t>
        </is>
      </c>
      <c r="B178" s="4" t="n">
        <v>1033098.69</v>
      </c>
    </row>
    <row r="179">
      <c r="A179" s="12" t="inlineStr">
        <is>
          <t>2026-07-14</t>
        </is>
      </c>
      <c r="B179" s="13" t="n">
        <v>1040082.98</v>
      </c>
    </row>
    <row r="180">
      <c r="A180" s="10" t="inlineStr">
        <is>
          <t>2026-07-15</t>
        </is>
      </c>
      <c r="B180" s="4" t="n">
        <v>1045642.28</v>
      </c>
    </row>
    <row r="181">
      <c r="A181" s="12" t="inlineStr">
        <is>
          <t>2026-07-16</t>
        </is>
      </c>
      <c r="B181" s="13" t="n">
        <v>1028157.22</v>
      </c>
    </row>
    <row r="182">
      <c r="A182" s="10" t="inlineStr">
        <is>
          <t>2026-07-17</t>
        </is>
      </c>
      <c r="B182" s="4" t="n">
        <v>1029409.78</v>
      </c>
    </row>
    <row r="183">
      <c r="A183" s="12" t="inlineStr">
        <is>
          <t>2026-07-20</t>
        </is>
      </c>
      <c r="B183" s="13" t="n">
        <v>1032103.67</v>
      </c>
    </row>
    <row r="184">
      <c r="A184" s="10" t="inlineStr">
        <is>
          <t>2026-07-21</t>
        </is>
      </c>
      <c r="B184" s="4" t="n">
        <v>1032768.98</v>
      </c>
    </row>
    <row r="185">
      <c r="A185" s="12" t="inlineStr">
        <is>
          <t>2026-07-22</t>
        </is>
      </c>
      <c r="B185" s="13" t="n">
        <v>1033920.04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1033920.04</v>
      </c>
      <c r="C4" s="4" t="n">
        <v>1196852.16</v>
      </c>
      <c r="D4" s="4" t="n">
        <v>644919.55</v>
      </c>
      <c r="E4" s="4" t="n">
        <v>1841771.71</v>
      </c>
      <c r="F4" s="4" t="n">
        <v>551932.61</v>
      </c>
      <c r="G4" s="5" t="n">
        <v>1.781</v>
      </c>
      <c r="H4" s="5" t="n">
        <v>0.534</v>
      </c>
      <c r="I4" s="5" t="n">
        <v>178.13</v>
      </c>
      <c r="J4" s="5" t="n">
        <v>89.06999999999999</v>
      </c>
      <c r="K4" s="24" t="n">
        <v>9</v>
      </c>
    </row>
    <row r="5">
      <c r="A5" s="12" t="inlineStr">
        <is>
          <t>MRPT</t>
        </is>
      </c>
      <c r="B5" s="13" t="n">
        <v>564032.22</v>
      </c>
      <c r="C5" s="13" t="n">
        <v>129595.16</v>
      </c>
      <c r="D5" s="13" t="n">
        <v>128017</v>
      </c>
      <c r="E5" s="13" t="n">
        <v>257612.16</v>
      </c>
      <c r="F5" s="13" t="n">
        <v>1578.16</v>
      </c>
      <c r="G5" s="25" t="n">
        <v>0.457</v>
      </c>
      <c r="H5" s="25" t="n">
        <v>0.003</v>
      </c>
      <c r="I5" s="25" t="n">
        <v>45.67</v>
      </c>
      <c r="J5" s="25" t="n">
        <v>22.84</v>
      </c>
      <c r="K5" s="26" t="n">
        <v>1</v>
      </c>
    </row>
    <row r="6">
      <c r="A6" s="10" t="inlineStr">
        <is>
          <t>MTFS</t>
        </is>
      </c>
      <c r="B6" s="4" t="n">
        <v>469887.83</v>
      </c>
      <c r="C6" s="4" t="n">
        <v>1067257</v>
      </c>
      <c r="D6" s="4" t="n">
        <v>516902.55</v>
      </c>
      <c r="E6" s="4" t="n">
        <v>1584159.54</v>
      </c>
      <c r="F6" s="4" t="n">
        <v>550354.45</v>
      </c>
      <c r="G6" s="5" t="n">
        <v>3.371</v>
      </c>
      <c r="H6" s="5" t="n">
        <v>1.171</v>
      </c>
      <c r="I6" s="5" t="n">
        <v>337.14</v>
      </c>
      <c r="J6" s="5" t="n">
        <v>168.57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HHI=0.1137  ·  effective N pairs=8.8  ·  max pair=13.99%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JBHT</t>
        </is>
      </c>
      <c r="B6" s="4" t="n">
        <v>360624.16</v>
      </c>
      <c r="C6" s="4" t="n">
        <v>360624.16</v>
      </c>
      <c r="D6" s="22" t="n">
        <v>34.88</v>
      </c>
      <c r="E6" s="22" t="n">
        <v>19.58</v>
      </c>
      <c r="F6" s="24" t="n">
        <v>2</v>
      </c>
    </row>
    <row r="7">
      <c r="A7" s="12" t="inlineStr">
        <is>
          <t>VLO</t>
        </is>
      </c>
      <c r="B7" s="13" t="n">
        <v>272055</v>
      </c>
      <c r="C7" s="13" t="n">
        <v>272055</v>
      </c>
      <c r="D7" s="20" t="n">
        <v>26.31</v>
      </c>
      <c r="E7" s="20" t="n">
        <v>14.77</v>
      </c>
      <c r="F7" s="26" t="n">
        <v>2</v>
      </c>
    </row>
    <row r="8">
      <c r="A8" s="10" t="inlineStr">
        <is>
          <t>BBY</t>
        </is>
      </c>
      <c r="B8" s="4" t="n">
        <v>237461.86</v>
      </c>
      <c r="C8" s="4" t="n">
        <v>237461.86</v>
      </c>
      <c r="D8" s="22" t="n">
        <v>22.97</v>
      </c>
      <c r="E8" s="22" t="n">
        <v>12.89</v>
      </c>
      <c r="F8" s="24" t="n">
        <v>2</v>
      </c>
    </row>
    <row r="9">
      <c r="A9" s="12" t="inlineStr">
        <is>
          <t>CFG</t>
        </is>
      </c>
      <c r="B9" s="13" t="n">
        <v>129595.16</v>
      </c>
      <c r="C9" s="13" t="n">
        <v>129595.16</v>
      </c>
      <c r="D9" s="20" t="n">
        <v>12.53</v>
      </c>
      <c r="E9" s="20" t="n">
        <v>7.04</v>
      </c>
      <c r="F9" s="26" t="n">
        <v>1</v>
      </c>
    </row>
    <row r="10">
      <c r="A10" s="10" t="inlineStr">
        <is>
          <t>AIG</t>
        </is>
      </c>
      <c r="B10" s="4" t="n">
        <v>128017</v>
      </c>
      <c r="C10" s="18" t="n">
        <v>-128017</v>
      </c>
      <c r="D10" s="22" t="n">
        <v>12.38</v>
      </c>
      <c r="E10" s="22" t="n">
        <v>6.95</v>
      </c>
      <c r="F10" s="24" t="n">
        <v>1</v>
      </c>
    </row>
    <row r="11">
      <c r="A11" s="12" t="inlineStr">
        <is>
          <t>CVS</t>
        </is>
      </c>
      <c r="B11" s="13" t="n">
        <v>104085.13</v>
      </c>
      <c r="C11" s="13" t="n">
        <v>104085.13</v>
      </c>
      <c r="D11" s="20" t="n">
        <v>10.07</v>
      </c>
      <c r="E11" s="20" t="n">
        <v>5.65</v>
      </c>
      <c r="F11" s="26" t="n">
        <v>1</v>
      </c>
    </row>
    <row r="12">
      <c r="A12" s="10" t="inlineStr">
        <is>
          <t>LKQ</t>
        </is>
      </c>
      <c r="B12" s="4" t="n">
        <v>95167.82000000001</v>
      </c>
      <c r="C12" s="18" t="n">
        <v>-95167.82000000001</v>
      </c>
      <c r="D12" s="22" t="n">
        <v>9.199999999999999</v>
      </c>
      <c r="E12" s="22" t="n">
        <v>5.17</v>
      </c>
      <c r="F12" s="24" t="n">
        <v>2</v>
      </c>
    </row>
    <row r="13">
      <c r="A13" s="12" t="inlineStr">
        <is>
          <t>ANET</t>
        </is>
      </c>
      <c r="B13" s="13" t="n">
        <v>93030.84</v>
      </c>
      <c r="C13" s="13" t="n">
        <v>93030.84</v>
      </c>
      <c r="D13" s="20" t="n">
        <v>9</v>
      </c>
      <c r="E13" s="20" t="n">
        <v>5.05</v>
      </c>
      <c r="F13" s="26" t="n">
        <v>1</v>
      </c>
    </row>
    <row r="14">
      <c r="A14" s="10" t="inlineStr">
        <is>
          <t>HSY</t>
        </is>
      </c>
      <c r="B14" s="4" t="n">
        <v>92713.53999999999</v>
      </c>
      <c r="C14" s="18" t="n">
        <v>-92713.53999999999</v>
      </c>
      <c r="D14" s="22" t="n">
        <v>8.970000000000001</v>
      </c>
      <c r="E14" s="22" t="n">
        <v>5.03</v>
      </c>
      <c r="F14" s="24" t="n">
        <v>1</v>
      </c>
    </row>
    <row r="15">
      <c r="A15" s="12" t="inlineStr">
        <is>
          <t>HCA</t>
        </is>
      </c>
      <c r="B15" s="13" t="n">
        <v>89620.67</v>
      </c>
      <c r="C15" s="19" t="n">
        <v>-89620.67</v>
      </c>
      <c r="D15" s="20" t="n">
        <v>8.67</v>
      </c>
      <c r="E15" s="20" t="n">
        <v>4.87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energy</t>
        </is>
      </c>
      <c r="B20" s="4" t="n">
        <v>272055</v>
      </c>
      <c r="C20" s="11" t="n">
        <v>0</v>
      </c>
      <c r="D20" s="4" t="n">
        <v>272055</v>
      </c>
      <c r="E20" s="7" t="n">
        <v>14.77</v>
      </c>
    </row>
    <row r="21">
      <c r="A21" s="12" t="inlineStr">
        <is>
          <t>industrial</t>
        </is>
      </c>
      <c r="B21" s="13" t="n">
        <v>360624.16</v>
      </c>
      <c r="C21" s="13" t="n">
        <v>125445.82</v>
      </c>
      <c r="D21" s="13" t="n">
        <v>235178.34</v>
      </c>
      <c r="E21" s="17" t="n">
        <v>12.77</v>
      </c>
    </row>
    <row r="22">
      <c r="A22" s="10" t="inlineStr">
        <is>
          <t>other</t>
        </is>
      </c>
      <c r="B22" s="11" t="n">
        <v>0</v>
      </c>
      <c r="C22" s="4" t="n">
        <v>95167.82000000001</v>
      </c>
      <c r="D22" s="18" t="n">
        <v>-95167.82000000001</v>
      </c>
      <c r="E22" s="7" t="n">
        <v>-5.17</v>
      </c>
    </row>
    <row r="23">
      <c r="A23" s="12" t="inlineStr">
        <is>
          <t>tech</t>
        </is>
      </c>
      <c r="B23" s="13" t="n">
        <v>93030.84</v>
      </c>
      <c r="C23" s="14" t="n">
        <v>0</v>
      </c>
      <c r="D23" s="13" t="n">
        <v>93030.84</v>
      </c>
      <c r="E23" s="17" t="n">
        <v>5.05</v>
      </c>
    </row>
    <row r="24">
      <c r="A24" s="10" t="inlineStr">
        <is>
          <t>food</t>
        </is>
      </c>
      <c r="B24" s="4" t="n">
        <v>237461.86</v>
      </c>
      <c r="C24" s="4" t="n">
        <v>206668.24</v>
      </c>
      <c r="D24" s="4" t="n">
        <v>30793.62</v>
      </c>
      <c r="E24" s="7" t="n">
        <v>1.67</v>
      </c>
    </row>
    <row r="25">
      <c r="A25" s="12" t="inlineStr">
        <is>
          <t>health</t>
        </is>
      </c>
      <c r="B25" s="13" t="n">
        <v>104085.13</v>
      </c>
      <c r="C25" s="13" t="n">
        <v>89620.67</v>
      </c>
      <c r="D25" s="13" t="n">
        <v>14464.46</v>
      </c>
      <c r="E25" s="17" t="n">
        <v>0.79</v>
      </c>
    </row>
    <row r="26">
      <c r="A26" s="10" t="inlineStr">
        <is>
          <t>finance</t>
        </is>
      </c>
      <c r="B26" s="4" t="n">
        <v>129595.16</v>
      </c>
      <c r="C26" s="4" t="n">
        <v>128017</v>
      </c>
      <c r="D26" s="4" t="n">
        <v>1578.16</v>
      </c>
      <c r="E26" s="7" t="n">
        <v>0.09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0.359</v>
      </c>
    </row>
    <row r="4">
      <c r="A4" s="3" t="inlineStr">
        <is>
          <t>Gross beta</t>
        </is>
      </c>
      <c r="B4" s="5" t="n">
        <v>1.166</v>
      </c>
    </row>
    <row r="5">
      <c r="A5" s="3" t="inlineStr">
        <is>
          <t>Momentum factor net (% NAV)</t>
        </is>
      </c>
      <c r="B5" s="5" t="n">
        <v>53.23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energy</t>
        </is>
      </c>
      <c r="B10" s="22" t="n">
        <v>14.77</v>
      </c>
    </row>
    <row r="11">
      <c r="A11" s="12" t="inlineStr">
        <is>
          <t>industrial</t>
        </is>
      </c>
      <c r="B11" s="20" t="n">
        <v>12.77</v>
      </c>
    </row>
    <row r="12">
      <c r="A12" s="10" t="inlineStr">
        <is>
          <t>other</t>
        </is>
      </c>
      <c r="B12" s="23" t="n">
        <v>-5.17</v>
      </c>
    </row>
    <row r="13">
      <c r="A13" s="12" t="inlineStr">
        <is>
          <t>tech</t>
        </is>
      </c>
      <c r="B13" s="20" t="n">
        <v>5.05</v>
      </c>
    </row>
    <row r="14">
      <c r="A14" s="10" t="inlineStr">
        <is>
          <t>food</t>
        </is>
      </c>
      <c r="B14" s="22" t="n">
        <v>1.67</v>
      </c>
    </row>
    <row r="15">
      <c r="A15" s="12" t="inlineStr">
        <is>
          <t>health</t>
        </is>
      </c>
      <c r="B15" s="20" t="n">
        <v>0.79</v>
      </c>
    </row>
    <row r="16">
      <c r="A16" s="10" t="inlineStr">
        <is>
          <t>finance</t>
        </is>
      </c>
      <c r="B16" s="22" t="n">
        <v>0.09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22885.29</v>
      </c>
    </row>
    <row r="4">
      <c r="A4" s="3" t="inlineStr">
        <is>
          <t>Parametric VaR 99% 1d ($)</t>
        </is>
      </c>
      <c r="B4" s="4" t="n">
        <v>32359.39</v>
      </c>
    </row>
    <row r="5">
      <c r="A5" s="3" t="inlineStr">
        <is>
          <t>Annual vol ($)</t>
        </is>
      </c>
      <c r="B5" s="4" t="n">
        <v>220846.68</v>
      </c>
    </row>
    <row r="6">
      <c r="A6" s="3" t="inlineStr">
        <is>
          <t>Annual vol (% NAV)</t>
        </is>
      </c>
      <c r="B6" s="5" t="n">
        <v>21.36</v>
      </c>
    </row>
    <row r="7">
      <c r="A7" s="3" t="inlineStr">
        <is>
          <t>Historical VaR 95% 1d ($)</t>
        </is>
      </c>
      <c r="B7" s="4" t="n">
        <v>16361.35</v>
      </c>
    </row>
    <row r="8">
      <c r="A8" s="3" t="inlineStr">
        <is>
          <t>Historical CVaR 95% 1d ($)</t>
        </is>
      </c>
      <c r="B8" s="4" t="n">
        <v>21961.99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VLO/PNR</t>
        </is>
      </c>
      <c r="B12" s="4" t="n">
        <v>3770.68</v>
      </c>
      <c r="C12" s="7" t="n">
        <v>16.48</v>
      </c>
    </row>
    <row r="13">
      <c r="A13" s="12" t="inlineStr">
        <is>
          <t>JBHT/PEP</t>
        </is>
      </c>
      <c r="B13" s="13" t="n">
        <v>3672.03</v>
      </c>
      <c r="C13" s="17" t="n">
        <v>16.05</v>
      </c>
    </row>
    <row r="14">
      <c r="A14" s="10" t="inlineStr">
        <is>
          <t>JBHT/LKQ</t>
        </is>
      </c>
      <c r="B14" s="4" t="n">
        <v>3273.66</v>
      </c>
      <c r="C14" s="7" t="n">
        <v>14.3</v>
      </c>
    </row>
    <row r="15">
      <c r="A15" s="12" t="inlineStr">
        <is>
          <t>ANET/LKQ</t>
        </is>
      </c>
      <c r="B15" s="13" t="n">
        <v>3197.14</v>
      </c>
      <c r="C15" s="17" t="n">
        <v>13.97</v>
      </c>
    </row>
    <row r="16">
      <c r="A16" s="10" t="inlineStr">
        <is>
          <t>VLO/HSY</t>
        </is>
      </c>
      <c r="B16" s="4" t="n">
        <v>2997.35</v>
      </c>
      <c r="C16" s="7" t="n">
        <v>13.1</v>
      </c>
    </row>
    <row r="17">
      <c r="A17" s="12" t="inlineStr">
        <is>
          <t>BBY/HCA</t>
        </is>
      </c>
      <c r="B17" s="13" t="n">
        <v>2474.41</v>
      </c>
      <c r="C17" s="17" t="n">
        <v>10.81</v>
      </c>
    </row>
    <row r="18">
      <c r="A18" s="10" t="inlineStr">
        <is>
          <t>BBY/HII</t>
        </is>
      </c>
      <c r="B18" s="4" t="n">
        <v>2378.81</v>
      </c>
      <c r="C18" s="7" t="n">
        <v>10.39</v>
      </c>
    </row>
    <row r="19">
      <c r="A19" s="12" t="inlineStr">
        <is>
          <t>AIG/CFG</t>
        </is>
      </c>
      <c r="B19" s="13" t="n">
        <v>729.4299999999999</v>
      </c>
      <c r="C19" s="17" t="n">
        <v>3.19</v>
      </c>
    </row>
    <row r="20">
      <c r="A20" s="10" t="inlineStr">
        <is>
          <t>CVS/LEN</t>
        </is>
      </c>
      <c r="B20" s="4" t="n">
        <v>391.77</v>
      </c>
      <c r="C20" s="7" t="n">
        <v>1.71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2561659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4094568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5339591</v>
      </c>
      <c r="E8" s="7" t="n">
        <v>0</v>
      </c>
    </row>
    <row r="9">
      <c r="A9" s="12" t="inlineStr">
        <is>
          <t>ANET</t>
        </is>
      </c>
      <c r="B9" s="17" t="inlineStr">
        <is>
          <t>ANET/LKQ</t>
        </is>
      </c>
      <c r="C9" s="13" t="n">
        <v>532</v>
      </c>
      <c r="D9" s="13" t="n">
        <v>8280271</v>
      </c>
      <c r="E9" s="17" t="n">
        <v>0</v>
      </c>
    </row>
    <row r="10">
      <c r="A10" s="10" t="inlineStr">
        <is>
          <t>BBY</t>
        </is>
      </c>
      <c r="B10" s="7" t="inlineStr">
        <is>
          <t>BBY/HCA</t>
        </is>
      </c>
      <c r="C10" s="4" t="n">
        <v>1075</v>
      </c>
      <c r="D10" s="4" t="n">
        <v>3607556</v>
      </c>
      <c r="E10" s="7" t="n">
        <v>0</v>
      </c>
    </row>
    <row r="11">
      <c r="A11" s="12" t="inlineStr">
        <is>
          <t>HCA</t>
        </is>
      </c>
      <c r="B11" s="17" t="inlineStr">
        <is>
          <t>BBY/HCA</t>
        </is>
      </c>
      <c r="C11" s="13" t="n">
        <v>241</v>
      </c>
      <c r="D11" s="13" t="n">
        <v>1643178</v>
      </c>
      <c r="E11" s="17" t="n">
        <v>0</v>
      </c>
    </row>
    <row r="12">
      <c r="A12" s="10" t="inlineStr">
        <is>
          <t>VLO</t>
        </is>
      </c>
      <c r="B12" s="7" t="inlineStr">
        <is>
          <t>VLO/HSY</t>
        </is>
      </c>
      <c r="C12" s="4" t="n">
        <v>312</v>
      </c>
      <c r="D12" s="4" t="n">
        <v>3159122</v>
      </c>
      <c r="E12" s="7" t="n">
        <v>0</v>
      </c>
    </row>
    <row r="13">
      <c r="A13" s="12" t="inlineStr">
        <is>
          <t>HSY</t>
        </is>
      </c>
      <c r="B13" s="17" t="inlineStr">
        <is>
          <t>VLO/HSY</t>
        </is>
      </c>
      <c r="C13" s="13" t="n">
        <v>538</v>
      </c>
      <c r="D13" s="13" t="n">
        <v>1902518</v>
      </c>
      <c r="E13" s="17" t="n">
        <v>0</v>
      </c>
    </row>
    <row r="14">
      <c r="A14" s="10" t="inlineStr">
        <is>
          <t>JBHT</t>
        </is>
      </c>
      <c r="B14" s="7" t="inlineStr">
        <is>
          <t>JBHT/LKQ</t>
        </is>
      </c>
      <c r="C14" s="4" t="n">
        <v>617</v>
      </c>
      <c r="D14" s="4" t="n">
        <v>1079544</v>
      </c>
      <c r="E14" s="7" t="n">
        <v>0</v>
      </c>
    </row>
    <row r="15">
      <c r="A15" s="12" t="inlineStr">
        <is>
          <t>LKQ</t>
        </is>
      </c>
      <c r="B15" s="17" t="inlineStr">
        <is>
          <t>JBHT/LKQ</t>
        </is>
      </c>
      <c r="C15" s="13" t="n">
        <v>103</v>
      </c>
      <c r="D15" s="13" t="n">
        <v>2561659</v>
      </c>
      <c r="E15" s="17" t="n">
        <v>0</v>
      </c>
    </row>
    <row r="16">
      <c r="A16" s="10" t="inlineStr">
        <is>
          <t>BBY</t>
        </is>
      </c>
      <c r="B16" s="7" t="inlineStr">
        <is>
          <t>BBY/HII</t>
        </is>
      </c>
      <c r="C16" s="4" t="n">
        <v>1651</v>
      </c>
      <c r="D16" s="4" t="n">
        <v>3607556</v>
      </c>
      <c r="E16" s="7" t="n">
        <v>0</v>
      </c>
    </row>
    <row r="17">
      <c r="A17" s="12" t="inlineStr">
        <is>
          <t>HII</t>
        </is>
      </c>
      <c r="B17" s="17" t="inlineStr">
        <is>
          <t>BBY/HII</t>
        </is>
      </c>
      <c r="C17" s="13" t="n">
        <v>224</v>
      </c>
      <c r="D17" s="13" t="n">
        <v>471703</v>
      </c>
      <c r="E17" s="17" t="n">
        <v>0</v>
      </c>
    </row>
    <row r="18">
      <c r="A18" s="10" t="inlineStr">
        <is>
          <t>JBHT</t>
        </is>
      </c>
      <c r="B18" s="7" t="inlineStr">
        <is>
          <t>JBHT/PEP</t>
        </is>
      </c>
      <c r="C18" s="4" t="n">
        <v>617</v>
      </c>
      <c r="D18" s="4" t="n">
        <v>1079544</v>
      </c>
      <c r="E18" s="7" t="n">
        <v>0</v>
      </c>
    </row>
    <row r="19">
      <c r="A19" s="12" t="inlineStr">
        <is>
          <t>PEP</t>
        </is>
      </c>
      <c r="B19" s="17" t="inlineStr">
        <is>
          <t>JBHT/PEP</t>
        </is>
      </c>
      <c r="C19" s="13" t="n">
        <v>444</v>
      </c>
      <c r="D19" s="13" t="n">
        <v>9477771</v>
      </c>
      <c r="E19" s="17" t="n">
        <v>0</v>
      </c>
    </row>
    <row r="20">
      <c r="A20" s="10" t="inlineStr">
        <is>
          <t>CVS</t>
        </is>
      </c>
      <c r="B20" s="7" t="inlineStr">
        <is>
          <t>CVS/LEN</t>
        </is>
      </c>
      <c r="C20" s="4" t="n">
        <v>969</v>
      </c>
      <c r="D20" s="4" t="n">
        <v>7703734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-18558.86</v>
      </c>
      <c r="C4" s="23" t="n">
        <v>-1.8</v>
      </c>
    </row>
    <row r="5">
      <c r="A5" s="12" t="inlineStr">
        <is>
          <t>SPY -10%</t>
        </is>
      </c>
      <c r="B5" s="19" t="n">
        <v>-37117.73</v>
      </c>
      <c r="C5" s="21" t="n">
        <v>-3.59</v>
      </c>
    </row>
    <row r="6">
      <c r="A6" s="10" t="inlineStr">
        <is>
          <t>VIX +10pt</t>
        </is>
      </c>
      <c r="B6" s="18" t="n">
        <v>-18558.86</v>
      </c>
      <c r="C6" s="23" t="n">
        <v>-1.8</v>
      </c>
    </row>
    <row r="7">
      <c r="A7" s="12" t="inlineStr">
        <is>
          <t>Top sector -10%</t>
        </is>
      </c>
      <c r="B7" s="19" t="n">
        <v>-27205.5</v>
      </c>
      <c r="C7" s="21" t="n">
        <v>-2.63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0.46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3.37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1.17</v>
      </c>
      <c r="D7" s="30" t="n">
        <v>2</v>
      </c>
      <c r="E7" s="30" t="n">
        <v>3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JBHT</t>
        </is>
      </c>
      <c r="C8" s="32" t="n">
        <v>34.88</v>
      </c>
      <c r="D8" s="32" t="n">
        <v>30</v>
      </c>
      <c r="E8" s="32" t="n">
        <v>45</v>
      </c>
      <c r="F8" s="32" t="inlineStr">
        <is>
          <t>amber</t>
        </is>
      </c>
    </row>
    <row r="9">
      <c r="A9" s="29" t="inlineStr">
        <is>
          <t>single_name_gross</t>
        </is>
      </c>
      <c r="B9" s="30" t="inlineStr">
        <is>
          <t>VLO</t>
        </is>
      </c>
      <c r="C9" s="30" t="n">
        <v>26.31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BBY</t>
        </is>
      </c>
      <c r="C10" s="30" t="n">
        <v>22.97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energy</t>
        </is>
      </c>
      <c r="C11" s="30" t="n">
        <v>14.77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13.99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0.36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2.21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4" t="n">
        <v>78.25</v>
      </c>
      <c r="G4" s="19" t="n">
        <v>-128017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72.44</v>
      </c>
      <c r="G5" s="4" t="n">
        <v>129595.16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MTFS</t>
        </is>
      </c>
      <c r="B6" s="17" t="inlineStr">
        <is>
          <t>ANET/LKQ</t>
        </is>
      </c>
      <c r="C6" s="17" t="inlineStr">
        <is>
          <t>ANET</t>
        </is>
      </c>
      <c r="D6" s="17" t="inlineStr">
        <is>
          <t>long</t>
        </is>
      </c>
      <c r="E6" s="26" t="n">
        <v>532</v>
      </c>
      <c r="F6" s="13" t="n">
        <v>174.87</v>
      </c>
      <c r="G6" s="13" t="n">
        <v>93030.84</v>
      </c>
      <c r="H6" s="17" t="inlineStr">
        <is>
          <t>tech</t>
        </is>
      </c>
      <c r="I6" s="17" t="n">
        <v>0</v>
      </c>
      <c r="J6" s="17" t="inlineStr">
        <is>
          <t>slow_rebalance</t>
        </is>
      </c>
    </row>
    <row r="7">
      <c r="A7" s="10" t="inlineStr">
        <is>
          <t>MTFS</t>
        </is>
      </c>
      <c r="B7" s="7" t="inlineStr">
        <is>
          <t>ANET/LKQ</t>
        </is>
      </c>
      <c r="C7" s="7" t="inlineStr">
        <is>
          <t>LKQ</t>
        </is>
      </c>
      <c r="D7" s="7" t="inlineStr">
        <is>
          <t>short</t>
        </is>
      </c>
      <c r="E7" s="24" t="n">
        <v>-3675</v>
      </c>
      <c r="F7" s="11" t="n">
        <v>25.19</v>
      </c>
      <c r="G7" s="18" t="n">
        <v>-92573.25</v>
      </c>
      <c r="H7" s="7" t="inlineStr">
        <is>
          <t>other</t>
        </is>
      </c>
      <c r="I7" s="7" t="n">
        <v>0</v>
      </c>
      <c r="J7" s="7" t="inlineStr">
        <is>
          <t>slow_rebalance</t>
        </is>
      </c>
    </row>
    <row r="8">
      <c r="A8" s="12" t="inlineStr">
        <is>
          <t>MTFS</t>
        </is>
      </c>
      <c r="B8" s="17" t="inlineStr">
        <is>
          <t>BBY/HCA</t>
        </is>
      </c>
      <c r="C8" s="17" t="inlineStr">
        <is>
          <t>BBY</t>
        </is>
      </c>
      <c r="D8" s="17" t="inlineStr">
        <is>
          <t>long</t>
        </is>
      </c>
      <c r="E8" s="26" t="n">
        <v>1075</v>
      </c>
      <c r="F8" s="14" t="n">
        <v>87.11</v>
      </c>
      <c r="G8" s="13" t="n">
        <v>93643.25</v>
      </c>
      <c r="H8" s="17" t="inlineStr">
        <is>
          <t>food</t>
        </is>
      </c>
      <c r="I8" s="17" t="n">
        <v>2</v>
      </c>
      <c r="J8" s="17" t="inlineStr">
        <is>
          <t>long_term_kalman</t>
        </is>
      </c>
    </row>
    <row r="9">
      <c r="A9" s="10" t="inlineStr">
        <is>
          <t>MTFS</t>
        </is>
      </c>
      <c r="B9" s="7" t="inlineStr">
        <is>
          <t>BBY/HCA</t>
        </is>
      </c>
      <c r="C9" s="7" t="inlineStr">
        <is>
          <t>HCA</t>
        </is>
      </c>
      <c r="D9" s="7" t="inlineStr">
        <is>
          <t>short</t>
        </is>
      </c>
      <c r="E9" s="24" t="n">
        <v>-241</v>
      </c>
      <c r="F9" s="4" t="n">
        <v>371.87</v>
      </c>
      <c r="G9" s="18" t="n">
        <v>-89620.67</v>
      </c>
      <c r="H9" s="7" t="inlineStr">
        <is>
          <t>health</t>
        </is>
      </c>
      <c r="I9" s="7" t="n">
        <v>2</v>
      </c>
      <c r="J9" s="7" t="inlineStr">
        <is>
          <t>long_term_kalman</t>
        </is>
      </c>
    </row>
    <row r="10">
      <c r="A10" s="12" t="inlineStr">
        <is>
          <t>MTFS</t>
        </is>
      </c>
      <c r="B10" s="17" t="inlineStr">
        <is>
          <t>VLO/HSY</t>
        </is>
      </c>
      <c r="C10" s="17" t="inlineStr">
        <is>
          <t>VLO</t>
        </is>
      </c>
      <c r="D10" s="17" t="inlineStr">
        <is>
          <t>long</t>
        </is>
      </c>
      <c r="E10" s="26" t="n">
        <v>312</v>
      </c>
      <c r="F10" s="13" t="n">
        <v>310.92</v>
      </c>
      <c r="G10" s="13" t="n">
        <v>97007.03999999999</v>
      </c>
      <c r="H10" s="17" t="inlineStr">
        <is>
          <t>energy</t>
        </is>
      </c>
      <c r="I10" s="17" t="n">
        <v>0</v>
      </c>
      <c r="J10" s="17" t="inlineStr">
        <is>
          <t>short_term_…a_neutral_fc</t>
        </is>
      </c>
    </row>
    <row r="11">
      <c r="A11" s="10" t="inlineStr">
        <is>
          <t>MTFS</t>
        </is>
      </c>
      <c r="B11" s="7" t="inlineStr">
        <is>
          <t>VLO/HSY</t>
        </is>
      </c>
      <c r="C11" s="7" t="inlineStr">
        <is>
          <t>HSY</t>
        </is>
      </c>
      <c r="D11" s="7" t="inlineStr">
        <is>
          <t>short</t>
        </is>
      </c>
      <c r="E11" s="24" t="n">
        <v>-538</v>
      </c>
      <c r="F11" s="4" t="n">
        <v>172.33</v>
      </c>
      <c r="G11" s="18" t="n">
        <v>-92713.53999999999</v>
      </c>
      <c r="H11" s="7" t="inlineStr">
        <is>
          <t>food</t>
        </is>
      </c>
      <c r="I11" s="7" t="n">
        <v>0</v>
      </c>
      <c r="J11" s="7" t="inlineStr">
        <is>
          <t>short_term_…a_neutral_fc</t>
        </is>
      </c>
    </row>
    <row r="12">
      <c r="A12" s="12" t="inlineStr">
        <is>
          <t>MTFS</t>
        </is>
      </c>
      <c r="B12" s="17" t="inlineStr">
        <is>
          <t>JBHT/LKQ</t>
        </is>
      </c>
      <c r="C12" s="17" t="inlineStr">
        <is>
          <t>JBHT</t>
        </is>
      </c>
      <c r="D12" s="17" t="inlineStr">
        <is>
          <t>long</t>
        </is>
      </c>
      <c r="E12" s="26" t="n">
        <v>617</v>
      </c>
      <c r="F12" s="13" t="n">
        <v>292.24</v>
      </c>
      <c r="G12" s="13" t="n">
        <v>180312.08</v>
      </c>
      <c r="H12" s="17" t="inlineStr">
        <is>
          <t>industrial</t>
        </is>
      </c>
      <c r="I12" s="17" t="n">
        <v>1</v>
      </c>
      <c r="J12" s="17" t="inlineStr">
        <is>
          <t>short_term_beta_neutral</t>
        </is>
      </c>
    </row>
    <row r="13">
      <c r="A13" s="10" t="inlineStr">
        <is>
          <t>MTFS</t>
        </is>
      </c>
      <c r="B13" s="7" t="inlineStr">
        <is>
          <t>JBHT/LKQ</t>
        </is>
      </c>
      <c r="C13" s="7" t="inlineStr">
        <is>
          <t>LKQ</t>
        </is>
      </c>
      <c r="D13" s="7" t="inlineStr">
        <is>
          <t>short</t>
        </is>
      </c>
      <c r="E13" s="24" t="n">
        <v>-103</v>
      </c>
      <c r="F13" s="11" t="n">
        <v>25.19</v>
      </c>
      <c r="G13" s="18" t="n">
        <v>-2594.57</v>
      </c>
      <c r="H13" s="7" t="inlineStr">
        <is>
          <t>other</t>
        </is>
      </c>
      <c r="I13" s="7" t="n">
        <v>1</v>
      </c>
      <c r="J13" s="7" t="inlineStr">
        <is>
          <t>short_term_beta_neutral</t>
        </is>
      </c>
    </row>
    <row r="14">
      <c r="A14" s="12" t="inlineStr">
        <is>
          <t>MTFS</t>
        </is>
      </c>
      <c r="B14" s="17" t="inlineStr">
        <is>
          <t>BBY/HII</t>
        </is>
      </c>
      <c r="C14" s="17" t="inlineStr">
        <is>
          <t>BBY</t>
        </is>
      </c>
      <c r="D14" s="17" t="inlineStr">
        <is>
          <t>long</t>
        </is>
      </c>
      <c r="E14" s="26" t="n">
        <v>1651</v>
      </c>
      <c r="F14" s="14" t="n">
        <v>87.11</v>
      </c>
      <c r="G14" s="13" t="n">
        <v>143818.61</v>
      </c>
      <c r="H14" s="17" t="inlineStr">
        <is>
          <t>food</t>
        </is>
      </c>
      <c r="I14" s="17" t="n">
        <v>2</v>
      </c>
      <c r="J14" s="17" t="inlineStr">
        <is>
          <t>entry_filter_kalman</t>
        </is>
      </c>
    </row>
    <row r="15">
      <c r="A15" s="10" t="inlineStr">
        <is>
          <t>MTFS</t>
        </is>
      </c>
      <c r="B15" s="7" t="inlineStr">
        <is>
          <t>BBY/HII</t>
        </is>
      </c>
      <c r="C15" s="7" t="inlineStr">
        <is>
          <t>HII</t>
        </is>
      </c>
      <c r="D15" s="7" t="inlineStr">
        <is>
          <t>short</t>
        </is>
      </c>
      <c r="E15" s="24" t="n">
        <v>-224</v>
      </c>
      <c r="F15" s="4" t="n">
        <v>277.28</v>
      </c>
      <c r="G15" s="18" t="n">
        <v>-62110.72</v>
      </c>
      <c r="H15" s="7" t="inlineStr">
        <is>
          <t>industrial</t>
        </is>
      </c>
      <c r="I15" s="7" t="n">
        <v>2</v>
      </c>
      <c r="J15" s="7" t="inlineStr">
        <is>
          <t>entry_filter_kalman</t>
        </is>
      </c>
    </row>
    <row r="16">
      <c r="A16" s="12" t="inlineStr">
        <is>
          <t>MTFS</t>
        </is>
      </c>
      <c r="B16" s="17" t="inlineStr">
        <is>
          <t>JBHT/PEP</t>
        </is>
      </c>
      <c r="C16" s="17" t="inlineStr">
        <is>
          <t>JBHT</t>
        </is>
      </c>
      <c r="D16" s="17" t="inlineStr">
        <is>
          <t>long</t>
        </is>
      </c>
      <c r="E16" s="26" t="n">
        <v>617</v>
      </c>
      <c r="F16" s="13" t="n">
        <v>292.24</v>
      </c>
      <c r="G16" s="13" t="n">
        <v>180312.08</v>
      </c>
      <c r="H16" s="17" t="inlineStr">
        <is>
          <t>industrial</t>
        </is>
      </c>
      <c r="I16" s="17" t="n">
        <v>0</v>
      </c>
      <c r="J16" s="17" t="inlineStr">
        <is>
          <t>weekly_aligned_windows</t>
        </is>
      </c>
    </row>
    <row r="17">
      <c r="A17" s="10" t="inlineStr">
        <is>
          <t>MTFS</t>
        </is>
      </c>
      <c r="B17" s="7" t="inlineStr">
        <is>
          <t>JBHT/PEP</t>
        </is>
      </c>
      <c r="C17" s="7" t="inlineStr">
        <is>
          <t>PEP</t>
        </is>
      </c>
      <c r="D17" s="7" t="inlineStr">
        <is>
          <t>short</t>
        </is>
      </c>
      <c r="E17" s="24" t="n">
        <v>-444</v>
      </c>
      <c r="F17" s="4" t="n">
        <v>135.65</v>
      </c>
      <c r="G17" s="18" t="n">
        <v>-60228.6</v>
      </c>
      <c r="H17" s="7" t="inlineStr">
        <is>
          <t>food</t>
        </is>
      </c>
      <c r="I17" s="7" t="n">
        <v>0</v>
      </c>
      <c r="J17" s="7" t="inlineStr">
        <is>
          <t>weekly_aligned_windows</t>
        </is>
      </c>
    </row>
    <row r="18">
      <c r="A18" s="12" t="inlineStr">
        <is>
          <t>MTFS</t>
        </is>
      </c>
      <c r="B18" s="17" t="inlineStr">
        <is>
          <t>CVS/LEN</t>
        </is>
      </c>
      <c r="C18" s="17" t="inlineStr">
        <is>
          <t>CVS</t>
        </is>
      </c>
      <c r="D18" s="17" t="inlineStr">
        <is>
          <t>long</t>
        </is>
      </c>
      <c r="E18" s="26" t="n">
        <v>969</v>
      </c>
      <c r="F18" s="13" t="n">
        <v>107.41</v>
      </c>
      <c r="G18" s="13" t="n">
        <v>104085.13</v>
      </c>
      <c r="H18" s="17" t="inlineStr">
        <is>
          <t>health</t>
        </is>
      </c>
      <c r="I18" s="17" t="n">
        <v>1</v>
      </c>
      <c r="J18" s="17" t="inlineStr">
        <is>
          <t>fast_strict</t>
        </is>
      </c>
    </row>
    <row r="19">
      <c r="A19" s="10" t="inlineStr">
        <is>
          <t>MTFS</t>
        </is>
      </c>
      <c r="B19" s="7" t="inlineStr">
        <is>
          <t>CVS/LEN</t>
        </is>
      </c>
      <c r="C19" s="7" t="inlineStr">
        <is>
          <t>LEN</t>
        </is>
      </c>
      <c r="D19" s="7" t="inlineStr">
        <is>
          <t>short</t>
        </is>
      </c>
      <c r="E19" s="24" t="n">
        <v>-654</v>
      </c>
      <c r="F19" s="11" t="n">
        <v>82.15000000000001</v>
      </c>
      <c r="G19" s="18" t="n">
        <v>-53726.1</v>
      </c>
      <c r="H19" s="7" t="inlineStr">
        <is>
          <t>food</t>
        </is>
      </c>
      <c r="I19" s="7" t="n">
        <v>1</v>
      </c>
      <c r="J19" s="7" t="inlineStr">
        <is>
          <t>fast_strict</t>
        </is>
      </c>
    </row>
    <row r="20">
      <c r="A20" s="12" t="inlineStr">
        <is>
          <t>MTFS</t>
        </is>
      </c>
      <c r="B20" s="17" t="inlineStr">
        <is>
          <t>VLO/PNR</t>
        </is>
      </c>
      <c r="C20" s="17" t="inlineStr">
        <is>
          <t>VLO</t>
        </is>
      </c>
      <c r="D20" s="17" t="inlineStr">
        <is>
          <t>long</t>
        </is>
      </c>
      <c r="E20" s="26" t="n">
        <v>563</v>
      </c>
      <c r="F20" s="13" t="n">
        <v>310.92</v>
      </c>
      <c r="G20" s="13" t="n">
        <v>175047.96</v>
      </c>
      <c r="H20" s="17" t="inlineStr">
        <is>
          <t>energy</t>
        </is>
      </c>
      <c r="I20" s="17" t="n">
        <v>0</v>
      </c>
      <c r="J20" s="17" t="inlineStr">
        <is>
          <t>raw_momentum_kalman</t>
        </is>
      </c>
    </row>
    <row r="21">
      <c r="A21" s="10" t="inlineStr">
        <is>
          <t>MTFS</t>
        </is>
      </c>
      <c r="B21" s="7" t="inlineStr">
        <is>
          <t>VLO/PNR</t>
        </is>
      </c>
      <c r="C21" s="7" t="inlineStr">
        <is>
          <t>PNR</t>
        </is>
      </c>
      <c r="D21" s="7" t="inlineStr">
        <is>
          <t>short</t>
        </is>
      </c>
      <c r="E21" s="24" t="n">
        <v>-1005</v>
      </c>
      <c r="F21" s="11" t="n">
        <v>63.02</v>
      </c>
      <c r="G21" s="18" t="n">
        <v>-63335.1</v>
      </c>
      <c r="H21" s="7" t="inlineStr">
        <is>
          <t>industrial</t>
        </is>
      </c>
      <c r="I21" s="7" t="n">
        <v>0</v>
      </c>
      <c r="J21" s="7" t="inlineStr">
        <is>
          <t>raw_momentum_kalman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9182.639999999999</v>
      </c>
      <c r="D4" s="13" t="n">
        <v>257612.16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ANET/LKQ</t>
        </is>
      </c>
      <c r="C5" s="4" t="n">
        <v>577.15</v>
      </c>
      <c r="D5" s="4" t="n">
        <v>185604.09</v>
      </c>
      <c r="E5" s="7" t="n">
        <v>0</v>
      </c>
      <c r="F5" s="7" t="inlineStr">
        <is>
          <t>slow_rebalance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BBY/HCA</t>
        </is>
      </c>
      <c r="C6" s="13" t="n">
        <v>3552.68</v>
      </c>
      <c r="D6" s="13" t="n">
        <v>183263.92</v>
      </c>
      <c r="E6" s="17" t="n">
        <v>2</v>
      </c>
      <c r="F6" s="17" t="inlineStr">
        <is>
          <t>long_term_kalman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VLO/HSY</t>
        </is>
      </c>
      <c r="C7" s="4" t="n">
        <v>4588.84</v>
      </c>
      <c r="D7" s="4" t="n">
        <v>189720.58</v>
      </c>
      <c r="E7" s="7" t="n">
        <v>0</v>
      </c>
      <c r="F7" s="7" t="inlineStr">
        <is>
          <t>short_term_…a_neutral_fc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JBHT/LKQ</t>
        </is>
      </c>
      <c r="C8" s="13" t="n">
        <v>531.6799999999999</v>
      </c>
      <c r="D8" s="13" t="n">
        <v>182906.65</v>
      </c>
      <c r="E8" s="17" t="n">
        <v>1</v>
      </c>
      <c r="F8" s="17" t="inlineStr">
        <is>
          <t>short_term_beta_neutral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BBY/HII</t>
        </is>
      </c>
      <c r="C9" s="4" t="n">
        <v>981.1</v>
      </c>
      <c r="D9" s="4" t="n">
        <v>205929.33</v>
      </c>
      <c r="E9" s="7" t="n">
        <v>2</v>
      </c>
      <c r="F9" s="7" t="inlineStr">
        <is>
          <t>entry_filter_kalman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JBHT/PEP</t>
        </is>
      </c>
      <c r="C10" s="13" t="n">
        <v>1164.79</v>
      </c>
      <c r="D10" s="13" t="n">
        <v>240540.68</v>
      </c>
      <c r="E10" s="17" t="n">
        <v>0</v>
      </c>
      <c r="F10" s="17" t="inlineStr">
        <is>
          <t>weekly_aligned_windows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CVS/LEN</t>
        </is>
      </c>
      <c r="C11" s="18" t="n">
        <v>-3289.01</v>
      </c>
      <c r="D11" s="4" t="n">
        <v>157811.23</v>
      </c>
      <c r="E11" s="7" t="n">
        <v>1</v>
      </c>
      <c r="F11" s="7" t="inlineStr">
        <is>
          <t>fast_strict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VLO/PNR</t>
        </is>
      </c>
      <c r="C12" s="14" t="n">
        <v>0</v>
      </c>
      <c r="D12" s="13" t="n">
        <v>238383.06</v>
      </c>
      <c r="E12" s="17" t="n">
        <v>0</v>
      </c>
      <c r="F12" s="17" t="inlineStr">
        <is>
          <t>raw_momentum_kalman</t>
        </is>
      </c>
      <c r="G1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2026-07-22</t>
        </is>
      </c>
      <c r="C4" s="7" t="inlineStr">
        <is>
          <t>2026-07-22</t>
        </is>
      </c>
    </row>
    <row r="5">
      <c r="A5" s="12" t="inlineStr">
        <is>
          <t>T_1D</t>
        </is>
      </c>
      <c r="B5" s="17" t="inlineStr">
        <is>
          <t>2026-07-21</t>
        </is>
      </c>
      <c r="C5" s="17" t="inlineStr">
        <is>
          <t>2026-07-21</t>
        </is>
      </c>
    </row>
    <row r="6">
      <c r="A6" s="10" t="inlineStr">
        <is>
          <t>T_1W</t>
        </is>
      </c>
      <c r="B6" s="7" t="inlineStr">
        <is>
          <t>2026-07-15</t>
        </is>
      </c>
      <c r="C6" s="7" t="inlineStr">
        <is>
          <t>2026-07-15</t>
        </is>
      </c>
    </row>
    <row r="7">
      <c r="A7" s="12" t="inlineStr">
        <is>
          <t>T_1M</t>
        </is>
      </c>
      <c r="B7" s="17" t="inlineStr">
        <is>
          <t>2026-06-23</t>
        </is>
      </c>
      <c r="C7" s="17" t="inlineStr">
        <is>
          <t>2026-06-23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11.48</v>
      </c>
      <c r="C6" s="7" t="n">
        <v>0.17</v>
      </c>
      <c r="D6" s="7" t="n">
        <v>25</v>
      </c>
      <c r="E6" s="23" t="n">
        <v>-11.31</v>
      </c>
    </row>
    <row r="7">
      <c r="A7" s="12" t="inlineStr">
        <is>
          <t>MTFS</t>
        </is>
      </c>
      <c r="B7" s="17" t="n">
        <v>9.56</v>
      </c>
      <c r="C7" s="17" t="n">
        <v>15.27</v>
      </c>
      <c r="D7" s="17" t="n">
        <v>25</v>
      </c>
      <c r="E7" s="20" t="n">
        <v>5.7</v>
      </c>
    </row>
    <row r="8">
      <c r="A8" s="10" t="inlineStr">
        <is>
          <t>SSRS</t>
        </is>
      </c>
      <c r="B8" s="7" t="n">
        <v>20.29</v>
      </c>
      <c r="C8" s="7" t="n">
        <v>1.83</v>
      </c>
      <c r="D8" s="7" t="n">
        <v>25</v>
      </c>
      <c r="E8" s="23" t="n">
        <v>-18.46</v>
      </c>
    </row>
    <row r="9">
      <c r="A9" s="12" t="inlineStr">
        <is>
          <t>AISS</t>
        </is>
      </c>
      <c r="B9" s="17" t="n">
        <v>58.66</v>
      </c>
      <c r="C9" s="17" t="n">
        <v>82.73</v>
      </c>
      <c r="D9" s="17" t="n">
        <v>25</v>
      </c>
      <c r="E9" s="20" t="n">
        <v>24.06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VLO/PNR</t>
        </is>
      </c>
      <c r="B13" s="7" t="n">
        <v>16.48</v>
      </c>
    </row>
    <row r="14">
      <c r="A14" s="12" t="inlineStr">
        <is>
          <t>JBHT/PEP</t>
        </is>
      </c>
      <c r="B14" s="17" t="n">
        <v>16.05</v>
      </c>
    </row>
    <row r="15">
      <c r="A15" s="10" t="inlineStr">
        <is>
          <t>JBHT/LKQ</t>
        </is>
      </c>
      <c r="B15" s="7" t="n">
        <v>14.3</v>
      </c>
    </row>
    <row r="16">
      <c r="A16" s="12" t="inlineStr">
        <is>
          <t>ANET/LKQ</t>
        </is>
      </c>
      <c r="B16" s="17" t="n">
        <v>13.97</v>
      </c>
    </row>
    <row r="17">
      <c r="A17" s="10" t="inlineStr">
        <is>
          <t>VLO/HSY</t>
        </is>
      </c>
      <c r="B17" s="7" t="n">
        <v>13.1</v>
      </c>
    </row>
    <row r="18">
      <c r="A18" s="12" t="inlineStr">
        <is>
          <t>BBY/HCA</t>
        </is>
      </c>
      <c r="B18" s="17" t="n">
        <v>10.81</v>
      </c>
    </row>
    <row r="19">
      <c r="A19" s="10" t="inlineStr">
        <is>
          <t>BBY/HII</t>
        </is>
      </c>
      <c r="B19" s="7" t="n">
        <v>10.39</v>
      </c>
    </row>
    <row r="20">
      <c r="A20" s="12" t="inlineStr">
        <is>
          <t>AIG/CFG</t>
        </is>
      </c>
      <c r="B20" s="17" t="n">
        <v>3.19</v>
      </c>
    </row>
    <row r="21">
      <c r="A21" s="10" t="inlineStr">
        <is>
          <t>CVS/LEN</t>
        </is>
      </c>
      <c r="B21" s="7" t="n">
        <v>1.71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18.44</v>
      </c>
      <c r="C5" s="7" t="n">
        <v>1.08</v>
      </c>
      <c r="D5" s="7" t="n">
        <v>0.06900000000000001</v>
      </c>
      <c r="E5" s="7" t="n">
        <v>136</v>
      </c>
      <c r="F5" s="7" t="inlineStr">
        <is>
          <t>-0.001 (t=-0.01)</t>
        </is>
      </c>
      <c r="G5" s="7" t="inlineStr">
        <is>
          <t>0.161 (t=1.09)</t>
        </is>
      </c>
      <c r="H5" s="7" t="inlineStr">
        <is>
          <t>0.167 (t=1.2)</t>
        </is>
      </c>
      <c r="I5" s="7" t="inlineStr">
        <is>
          <t>0.224 (t=1.84)</t>
        </is>
      </c>
      <c r="J5" s="7" t="inlineStr">
        <is>
          <t>-0.315 (t=-1.55)</t>
        </is>
      </c>
      <c r="K5" s="7" t="inlineStr">
        <is>
          <t>-0.07 (t=-0.99)</t>
        </is>
      </c>
    </row>
    <row r="6">
      <c r="A6" s="12" t="inlineStr">
        <is>
          <t>MRPT</t>
        </is>
      </c>
      <c r="B6" s="20" t="n">
        <v>28.72</v>
      </c>
      <c r="C6" s="17" t="n">
        <v>1.23</v>
      </c>
      <c r="D6" s="17" t="n">
        <v>0.079</v>
      </c>
      <c r="E6" s="17" t="n">
        <v>136</v>
      </c>
      <c r="F6" s="17" t="inlineStr">
        <is>
          <t>0.076 (t=0.54)</t>
        </is>
      </c>
      <c r="G6" s="17" t="inlineStr">
        <is>
          <t>0.045 (t=0.23)</t>
        </is>
      </c>
      <c r="H6" s="17" t="inlineStr">
        <is>
          <t>-0.092 (t=-0.48)</t>
        </is>
      </c>
      <c r="I6" s="17" t="inlineStr">
        <is>
          <t>0.319 (t=1.92)</t>
        </is>
      </c>
      <c r="J6" s="17" t="inlineStr">
        <is>
          <t>-0.239 (t=-0.86)</t>
        </is>
      </c>
      <c r="K6" s="17" t="inlineStr">
        <is>
          <t>-0.181 (t=-1.88)</t>
        </is>
      </c>
    </row>
    <row r="7">
      <c r="A7" s="10" t="inlineStr">
        <is>
          <t>MTFS</t>
        </is>
      </c>
      <c r="B7" s="22" t="n">
        <v>7.44</v>
      </c>
      <c r="C7" s="7" t="n">
        <v>0.22</v>
      </c>
      <c r="D7" s="7" t="n">
        <v>0.051</v>
      </c>
      <c r="E7" s="7" t="n">
        <v>136</v>
      </c>
      <c r="F7" s="7" t="inlineStr">
        <is>
          <t>-0.105 (t=-0.51)</t>
        </is>
      </c>
      <c r="G7" s="7" t="inlineStr">
        <is>
          <t>0.331 (t=1.14)</t>
        </is>
      </c>
      <c r="H7" s="7" t="inlineStr">
        <is>
          <t>0.497 (t=1.8)</t>
        </is>
      </c>
      <c r="I7" s="7" t="inlineStr">
        <is>
          <t>0.095 (t=0.4)</t>
        </is>
      </c>
      <c r="J7" s="7" t="inlineStr">
        <is>
          <t>-0.415 (t=-1.03)</t>
        </is>
      </c>
      <c r="K7" s="7" t="inlineStr">
        <is>
          <t>0.08 (t=0.57)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0.121</v>
      </c>
      <c r="C4" s="7" t="n">
        <v>11.752</v>
      </c>
      <c r="D4" s="7" t="n">
        <v>0</v>
      </c>
      <c r="E4" s="7" t="b">
        <v>1</v>
      </c>
      <c r="F4" s="7" t="n">
        <v>2.891</v>
      </c>
      <c r="G4" s="7" t="n">
        <v>2.891</v>
      </c>
      <c r="H4" s="7" t="n">
        <v>0</v>
      </c>
    </row>
    <row r="5">
      <c r="A5" s="12" t="inlineStr">
        <is>
          <t>MRPT</t>
        </is>
      </c>
      <c r="B5" s="17" t="n">
        <v>-0.574</v>
      </c>
      <c r="C5" s="17" t="n">
        <v>3.255</v>
      </c>
      <c r="D5" s="17" t="n">
        <v>0</v>
      </c>
      <c r="E5" s="17" t="b">
        <v>1</v>
      </c>
      <c r="F5" s="17" t="n">
        <v>1.558</v>
      </c>
      <c r="G5" s="17" t="n">
        <v>1.648</v>
      </c>
      <c r="H5" s="17" t="n">
        <v>0.09</v>
      </c>
    </row>
    <row r="6">
      <c r="A6" s="10" t="inlineStr">
        <is>
          <t>MTFS</t>
        </is>
      </c>
      <c r="B6" s="7" t="n">
        <v>1.015</v>
      </c>
      <c r="C6" s="7" t="n">
        <v>13.754</v>
      </c>
      <c r="D6" s="7" t="n">
        <v>0</v>
      </c>
      <c r="E6" s="7" t="b">
        <v>1</v>
      </c>
      <c r="F6" s="7" t="n">
        <v>5.933</v>
      </c>
      <c r="G6" s="7" t="n">
        <v>5.933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0.702</v>
      </c>
      <c r="C9" s="7" t="n">
        <v>0.7233000000000001</v>
      </c>
      <c r="D9" s="7" t="n">
        <v>1388</v>
      </c>
      <c r="E9" s="7" t="n">
        <v>14.49</v>
      </c>
      <c r="F9" s="7" t="n">
        <v>14.93</v>
      </c>
      <c r="G9" s="7" t="n">
        <v>76.40000000000001</v>
      </c>
      <c r="H9" s="7" t="n">
        <v>1.84</v>
      </c>
      <c r="I9" s="7" t="n">
        <v>0.92</v>
      </c>
      <c r="J9" s="7" t="n">
        <v>1.781</v>
      </c>
    </row>
    <row r="10">
      <c r="A10" s="12" t="inlineStr">
        <is>
          <t>MRPT</t>
        </is>
      </c>
      <c r="B10" s="17" t="n">
        <v>0.987</v>
      </c>
      <c r="C10" s="17" t="n">
        <v>0.7932</v>
      </c>
      <c r="D10" s="17" t="n">
        <v>729</v>
      </c>
      <c r="E10" s="17" t="n">
        <v>10.14</v>
      </c>
      <c r="F10" s="17" t="n">
        <v>10.81</v>
      </c>
      <c r="G10" s="17" t="n">
        <v>80.8</v>
      </c>
      <c r="H10" s="17" t="n">
        <v>4.27</v>
      </c>
      <c r="I10" s="17" t="n">
        <v>2.13</v>
      </c>
      <c r="J10" s="17" t="n">
        <v>0.457</v>
      </c>
    </row>
    <row r="11">
      <c r="A11" s="10" t="inlineStr">
        <is>
          <t>MTFS</t>
        </is>
      </c>
      <c r="B11" s="7" t="n">
        <v>0.598</v>
      </c>
      <c r="C11" s="7" t="n">
        <v>0.6964</v>
      </c>
      <c r="D11" s="7" t="n">
        <v>1844</v>
      </c>
      <c r="E11" s="7" t="n">
        <v>25.19</v>
      </c>
      <c r="F11" s="7" t="n">
        <v>27.53</v>
      </c>
      <c r="G11" s="7" t="n">
        <v>79.7</v>
      </c>
      <c r="H11" s="7" t="n">
        <v>0.88</v>
      </c>
      <c r="I11" s="7" t="n">
        <v>0.44</v>
      </c>
      <c r="J11" s="7" t="n">
        <v>3.371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2026-07-23T10:19:13Z</dcterms:created>
  <dcterms:modified xmlns:dcterms="http://purl.org/dc/terms/" xmlns:xsi="http://www.w3.org/2001/XMLSchema-instance" xsi:type="dcterms:W3CDTF">2026-07-23T10:19:13Z</dcterms:modified>
</cp:coreProperties>
</file>