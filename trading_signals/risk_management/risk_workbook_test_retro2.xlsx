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Trend'!$A$4:$A$153</f>
            </numRef>
          </cat>
          <val>
            <numRef>
              <f>'NAV Trend'!$B$4:$B$153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2026-06-08  ·  Generated 2026-06-25T01:46:14  ·  Scope: MRPT+MTFS pairs book (model-based, broker-reconciled)</t>
        </is>
      </c>
    </row>
    <row r="4">
      <c r="A4" s="3" t="inlineStr">
        <is>
          <t>NAV (equity)</t>
        </is>
      </c>
      <c r="B4" s="4" t="n">
        <v>1063800.8</v>
      </c>
    </row>
    <row r="5">
      <c r="A5" s="3" t="inlineStr">
        <is>
          <t>Gross leverage (x)</t>
        </is>
      </c>
      <c r="B5" s="5" t="n">
        <v>1.106</v>
      </c>
    </row>
    <row r="6">
      <c r="A6" s="3" t="inlineStr">
        <is>
          <t>Net leverage (x)</t>
        </is>
      </c>
      <c r="B6" s="6" t="n">
        <v>0.357</v>
      </c>
    </row>
    <row r="7">
      <c r="A7" s="3" t="inlineStr">
        <is>
          <t>Net market beta (target≈0)</t>
        </is>
      </c>
      <c r="B7" s="6" t="n">
        <v>0.509</v>
      </c>
    </row>
    <row r="8">
      <c r="A8" s="3" t="inlineStr">
        <is>
          <t>VaR 95% 1-day ($)</t>
        </is>
      </c>
      <c r="B8" s="4" t="n">
        <v>15859.14</v>
      </c>
    </row>
    <row r="9">
      <c r="A9" s="3" t="inlineStr">
        <is>
          <t>VaR 95% 1-day (% NAV)</t>
        </is>
      </c>
      <c r="B9" s="5" t="n">
        <v>1.49</v>
      </c>
    </row>
    <row r="10">
      <c r="A10" s="3" t="inlineStr">
        <is>
          <t>Annual vol (% NAV)</t>
        </is>
      </c>
      <c r="B10" s="5" t="n">
        <v>14.39</v>
      </c>
    </row>
    <row r="11">
      <c r="A11" s="3" t="inlineStr">
        <is>
          <t>Sharpe (annual)</t>
        </is>
      </c>
      <c r="B11" s="5" t="n">
        <v>1.185</v>
      </c>
    </row>
    <row r="12">
      <c r="A12" s="3" t="inlineStr">
        <is>
          <t>PSR( SR&gt;0 )</t>
        </is>
      </c>
      <c r="B12" s="6" t="n">
        <v>0.8149999999999999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4.25 / 2.13</t>
        </is>
      </c>
    </row>
    <row r="15">
      <c r="A15" s="3" t="inlineStr">
        <is>
          <t>Actual gross leverage (x)</t>
        </is>
      </c>
      <c r="B15" s="5" t="n">
        <v>1.106</v>
      </c>
    </row>
    <row r="16">
      <c r="A16" s="3" t="inlineStr">
        <is>
          <t>Max single-name</t>
        </is>
      </c>
      <c r="B16" s="7" t="inlineStr">
        <is>
          <t>STLD (22.3% NAV)</t>
        </is>
      </c>
    </row>
    <row r="17">
      <c r="A17" s="3" t="inlineStr">
        <is>
          <t>Max sector net (% gross)</t>
        </is>
      </c>
      <c r="B17" s="5" t="n">
        <v>34.33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net_market_beta:combined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277287.63</v>
      </c>
      <c r="C5" s="11" t="n">
        <v>0</v>
      </c>
      <c r="D5" s="11" t="n">
        <v>0</v>
      </c>
      <c r="E5" s="4" t="n">
        <v>351243.08</v>
      </c>
    </row>
    <row r="6">
      <c r="A6" s="12" t="inlineStr">
        <is>
          <t>Restricted Cash 受限现金 (PB 102%)</t>
        </is>
      </c>
      <c r="B6" s="13" t="n">
        <v>406316.17</v>
      </c>
      <c r="C6" s="13" t="n">
        <v>819356.75</v>
      </c>
      <c r="D6" s="13" t="n">
        <v>1353272</v>
      </c>
      <c r="E6" s="13" t="n">
        <v>831096.4399999999</v>
      </c>
    </row>
    <row r="7">
      <c r="A7" s="10" t="inlineStr">
        <is>
          <t>Long Securities 多头证券</t>
        </is>
      </c>
      <c r="B7" s="4" t="n">
        <v>778546.1800000001</v>
      </c>
      <c r="C7" s="4" t="n">
        <v>1624294.74</v>
      </c>
      <c r="D7" s="4" t="n">
        <v>1753843.43</v>
      </c>
      <c r="E7" s="4" t="n">
        <v>669875.9399999999</v>
      </c>
    </row>
    <row r="8">
      <c r="A8" s="14" t="inlineStr">
        <is>
          <t>Total Assets 总资产</t>
        </is>
      </c>
      <c r="B8" s="13" t="n">
        <v>1462149.99</v>
      </c>
      <c r="C8" s="13" t="n">
        <v>2443651.49</v>
      </c>
      <c r="D8" s="13" t="n">
        <v>3107115.43</v>
      </c>
      <c r="E8" s="13" t="n">
        <v>1852215.46</v>
      </c>
    </row>
    <row r="9">
      <c r="A9" s="10" t="inlineStr">
        <is>
          <t>Short Securities 空头证券 (义务)</t>
        </is>
      </c>
      <c r="B9" s="4" t="n">
        <v>398349.19</v>
      </c>
      <c r="C9" s="4" t="n">
        <v>803290.9399999999</v>
      </c>
      <c r="D9" s="4" t="n">
        <v>1326737.26</v>
      </c>
      <c r="E9" s="4" t="n">
        <v>814800.4300000001</v>
      </c>
    </row>
    <row r="10">
      <c r="A10" s="12" t="inlineStr">
        <is>
          <t>Margin Loan 保证金借款</t>
        </is>
      </c>
      <c r="B10" s="15" t="n">
        <v>0</v>
      </c>
      <c r="C10" s="13" t="n">
        <v>633158.79</v>
      </c>
      <c r="D10" s="13" t="n">
        <v>775570.76</v>
      </c>
      <c r="E10" s="15" t="n">
        <v>0</v>
      </c>
    </row>
    <row r="11">
      <c r="A11" s="16" t="inlineStr">
        <is>
          <t>Total Liabilities 总负债</t>
        </is>
      </c>
      <c r="B11" s="4" t="n">
        <v>398349.19</v>
      </c>
      <c r="C11" s="4" t="n">
        <v>1436449.72</v>
      </c>
      <c r="D11" s="4" t="n">
        <v>2102308.02</v>
      </c>
      <c r="E11" s="4" t="n">
        <v>814800.4300000001</v>
      </c>
    </row>
    <row r="12">
      <c r="A12" s="14" t="inlineStr">
        <is>
          <t>NAV (Equity) 净值 = TA - TL</t>
        </is>
      </c>
      <c r="B12" s="13" t="n">
        <v>1063800.8</v>
      </c>
      <c r="C12" s="13" t="n">
        <v>1007201.77</v>
      </c>
      <c r="D12" s="13" t="n">
        <v>1004807.41</v>
      </c>
      <c r="E12" s="13" t="n">
        <v>1037415.03</v>
      </c>
    </row>
    <row r="13">
      <c r="A13" s="10" t="inlineStr">
        <is>
          <t>Gross Leverage 总杠杆 (x)</t>
        </is>
      </c>
      <c r="B13" s="7" t="n">
        <v>1.106</v>
      </c>
      <c r="C13" s="7" t="n">
        <v>2.41</v>
      </c>
      <c r="D13" s="7" t="n">
        <v>3.066</v>
      </c>
      <c r="E13" s="7" t="n">
        <v>1.431</v>
      </c>
    </row>
    <row r="14">
      <c r="A14" s="12" t="inlineStr">
        <is>
          <t>Net Leverage 净杠杆 (x)</t>
        </is>
      </c>
      <c r="B14" s="17" t="n">
        <v>0.357</v>
      </c>
      <c r="C14" s="17" t="n">
        <v>0.8149999999999999</v>
      </c>
      <c r="D14" s="17" t="n">
        <v>0.425</v>
      </c>
      <c r="E14" s="17" t="n">
        <v>-0.14</v>
      </c>
    </row>
    <row r="15">
      <c r="A15" s="10" t="inlineStr">
        <is>
          <t>PM Requirement (20%)</t>
        </is>
      </c>
      <c r="B15" s="4" t="n">
        <v>235379.07</v>
      </c>
      <c r="C15" s="4" t="n">
        <v>485517.14</v>
      </c>
      <c r="D15" s="4" t="n">
        <v>616116.14</v>
      </c>
      <c r="E15" s="4" t="n">
        <v>296935.28</v>
      </c>
    </row>
    <row r="16">
      <c r="A16" s="12" t="inlineStr">
        <is>
          <t>Excess Liquidity 超额流动性</t>
        </is>
      </c>
      <c r="B16" s="13" t="n">
        <v>828421.73</v>
      </c>
      <c r="C16" s="13" t="n">
        <v>521684.63</v>
      </c>
      <c r="D16" s="13" t="n">
        <v>388691.27</v>
      </c>
      <c r="E16" s="13" t="n">
        <v>740479.75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-0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778546.1800000001</v>
      </c>
      <c r="C21" s="4" t="n">
        <v>1007201.77</v>
      </c>
      <c r="D21" s="4" t="n">
        <v>1004807.41</v>
      </c>
      <c r="E21" s="4" t="n">
        <v>669875.9399999999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778546.1800000001</v>
      </c>
      <c r="C23" s="4" t="n">
        <v>1624294.74</v>
      </c>
      <c r="D23" s="4" t="n">
        <v>1753843.43</v>
      </c>
      <c r="E23" s="4" t="n">
        <v>669875.9399999999</v>
      </c>
    </row>
    <row r="24">
      <c r="A24" s="12" t="inlineStr">
        <is>
          <t>Long Book — Margin Loan 融资</t>
        </is>
      </c>
      <c r="B24" s="15" t="n">
        <v>0</v>
      </c>
      <c r="C24" s="13" t="n">
        <v>617092.97</v>
      </c>
      <c r="D24" s="13" t="n">
        <v>749036.02</v>
      </c>
      <c r="E24" s="15" t="n">
        <v>0</v>
      </c>
    </row>
    <row r="25">
      <c r="A25" s="16" t="inlineStr">
        <is>
          <t>Long Book — NAV</t>
        </is>
      </c>
      <c r="B25" s="4" t="n">
        <v>778546.1800000001</v>
      </c>
      <c r="C25" s="4" t="n">
        <v>1007201.77</v>
      </c>
      <c r="D25" s="4" t="n">
        <v>1004807.41</v>
      </c>
      <c r="E25" s="4" t="n">
        <v>669875.9399999999</v>
      </c>
    </row>
    <row r="26">
      <c r="A26" s="12" t="inlineStr">
        <is>
          <t>Short Book — Allocated Capital 分配资本</t>
        </is>
      </c>
      <c r="B26" s="13" t="n">
        <v>7966.98</v>
      </c>
      <c r="C26" s="15" t="n">
        <v>0</v>
      </c>
      <c r="D26" s="15" t="n">
        <v>0</v>
      </c>
      <c r="E26" s="13" t="n">
        <v>16296.01</v>
      </c>
    </row>
    <row r="27">
      <c r="A27" s="10" t="inlineStr">
        <is>
          <t>Short Book — Collateral 担保金</t>
        </is>
      </c>
      <c r="B27" s="4" t="n">
        <v>7966.98</v>
      </c>
      <c r="C27" s="11" t="n">
        <v>0</v>
      </c>
      <c r="D27" s="11" t="n">
        <v>0</v>
      </c>
      <c r="E27" s="4" t="n">
        <v>16296.01</v>
      </c>
    </row>
    <row r="28">
      <c r="A28" s="12" t="inlineStr">
        <is>
          <t>Short Book — Short Proceeds 做空收入</t>
        </is>
      </c>
      <c r="B28" s="13" t="n">
        <v>398349.19</v>
      </c>
      <c r="C28" s="13" t="n">
        <v>803290.9399999999</v>
      </c>
      <c r="D28" s="13" t="n">
        <v>1326737.26</v>
      </c>
      <c r="E28" s="13" t="n">
        <v>814800.4300000001</v>
      </c>
    </row>
    <row r="29">
      <c r="A29" s="10" t="inlineStr">
        <is>
          <t>Short Book — Market Value 市值(负债)</t>
        </is>
      </c>
      <c r="B29" s="4" t="n">
        <v>398349.19</v>
      </c>
      <c r="C29" s="4" t="n">
        <v>803290.9399999999</v>
      </c>
      <c r="D29" s="4" t="n">
        <v>1326737.26</v>
      </c>
      <c r="E29" s="4" t="n">
        <v>814800.4300000001</v>
      </c>
    </row>
    <row r="30">
      <c r="A30" s="12" t="inlineStr">
        <is>
          <t>Short Book — Margin Loan 融资(2%)</t>
        </is>
      </c>
      <c r="B30" s="15" t="n">
        <v>0</v>
      </c>
      <c r="C30" s="13" t="n">
        <v>16065.82</v>
      </c>
      <c r="D30" s="13" t="n">
        <v>26534.75</v>
      </c>
      <c r="E30" s="15" t="n">
        <v>0</v>
      </c>
    </row>
    <row r="31">
      <c r="A31" s="16" t="inlineStr">
        <is>
          <t>Short Book — NAV</t>
        </is>
      </c>
      <c r="B31" s="4" t="n">
        <v>7966.98</v>
      </c>
      <c r="C31" s="11" t="n">
        <v>0</v>
      </c>
      <c r="D31" s="11" t="n">
        <v>0</v>
      </c>
      <c r="E31" s="4" t="n">
        <v>16296.01</v>
      </c>
    </row>
    <row r="32">
      <c r="A32" s="12" t="inlineStr">
        <is>
          <t>Unallocated Cash 未分配现金</t>
        </is>
      </c>
      <c r="B32" s="13" t="n">
        <v>277287.63</v>
      </c>
      <c r="C32" s="15" t="n">
        <v>0</v>
      </c>
      <c r="D32" s="15" t="n">
        <v>0</v>
      </c>
      <c r="E32" s="13" t="n">
        <v>351243.08</v>
      </c>
    </row>
    <row r="33">
      <c r="A33" s="16" t="inlineStr">
        <is>
          <t>Dual-View NAV 双账户法NAV</t>
        </is>
      </c>
      <c r="B33" s="4" t="n">
        <v>1063800.8</v>
      </c>
      <c r="C33" s="4" t="n">
        <v>1007201.77</v>
      </c>
      <c r="D33" s="4" t="n">
        <v>1004807.41</v>
      </c>
      <c r="E33" s="4" t="n">
        <v>1037415.03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498860.65</v>
      </c>
      <c r="C39" s="4" t="n">
        <v>481651.58</v>
      </c>
      <c r="D39" s="4" t="n">
        <v>485159.09</v>
      </c>
      <c r="E39" s="4" t="n">
        <v>327476.84</v>
      </c>
    </row>
    <row r="40">
      <c r="A40" s="12" t="inlineStr">
        <is>
          <t>Restricted Cash 受限现金 (PB 102%)</t>
        </is>
      </c>
      <c r="B40" s="13" t="n">
        <v>72456.00999999999</v>
      </c>
      <c r="C40" s="13" t="n">
        <v>88699.86</v>
      </c>
      <c r="D40" s="13" t="n">
        <v>88856.36</v>
      </c>
      <c r="E40" s="13" t="n">
        <v>301578.34</v>
      </c>
    </row>
    <row r="41">
      <c r="A41" s="10" t="inlineStr">
        <is>
          <t>Long Securities 多头证券</t>
        </is>
      </c>
      <c r="B41" s="4" t="n">
        <v>68232.84</v>
      </c>
      <c r="C41" s="4" t="n">
        <v>85905.99000000001</v>
      </c>
      <c r="D41" s="4" t="n">
        <v>90309.06</v>
      </c>
      <c r="E41" s="4" t="n">
        <v>273041.59</v>
      </c>
    </row>
    <row r="42">
      <c r="A42" s="14" t="inlineStr">
        <is>
          <t>Total Assets 总资产</t>
        </is>
      </c>
      <c r="B42" s="13" t="n">
        <v>639549.5</v>
      </c>
      <c r="C42" s="13" t="n">
        <v>656257.4300000001</v>
      </c>
      <c r="D42" s="13" t="n">
        <v>664324.51</v>
      </c>
      <c r="E42" s="13" t="n">
        <v>902096.77</v>
      </c>
    </row>
    <row r="43">
      <c r="A43" s="10" t="inlineStr">
        <is>
          <t>Short Securities 空头证券 (义务)</t>
        </is>
      </c>
      <c r="B43" s="4" t="n">
        <v>71035.3</v>
      </c>
      <c r="C43" s="4" t="n">
        <v>86960.64999999999</v>
      </c>
      <c r="D43" s="4" t="n">
        <v>87114.08</v>
      </c>
      <c r="E43" s="4" t="n">
        <v>295665.04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71035.3</v>
      </c>
      <c r="C45" s="4" t="n">
        <v>86960.64999999999</v>
      </c>
      <c r="D45" s="4" t="n">
        <v>87114.08</v>
      </c>
      <c r="E45" s="4" t="n">
        <v>295665.04</v>
      </c>
    </row>
    <row r="46">
      <c r="A46" s="14" t="inlineStr">
        <is>
          <t>NAV (Equity) 净值 = TA - TL</t>
        </is>
      </c>
      <c r="B46" s="13" t="n">
        <v>568514.2</v>
      </c>
      <c r="C46" s="13" t="n">
        <v>569296.78</v>
      </c>
      <c r="D46" s="13" t="n">
        <v>577210.4300000001</v>
      </c>
      <c r="E46" s="13" t="n">
        <v>606431.73</v>
      </c>
    </row>
    <row r="47">
      <c r="A47" s="10" t="inlineStr">
        <is>
          <t>Gross Leverage 总杠杆 (x)</t>
        </is>
      </c>
      <c r="B47" s="7" t="n">
        <v>0.245</v>
      </c>
      <c r="C47" s="7" t="n">
        <v>0.304</v>
      </c>
      <c r="D47" s="7" t="n">
        <v>0.307</v>
      </c>
      <c r="E47" s="7" t="n">
        <v>0.9379999999999999</v>
      </c>
    </row>
    <row r="48">
      <c r="A48" s="12" t="inlineStr">
        <is>
          <t>Net Leverage 净杠杆 (x)</t>
        </is>
      </c>
      <c r="B48" s="17" t="n">
        <v>-0.005</v>
      </c>
      <c r="C48" s="17" t="n">
        <v>-0.002</v>
      </c>
      <c r="D48" s="17" t="n">
        <v>0.006</v>
      </c>
      <c r="E48" s="17" t="n">
        <v>-0.037</v>
      </c>
    </row>
    <row r="49">
      <c r="A49" s="10" t="inlineStr">
        <is>
          <t>PM Requirement (20%)</t>
        </is>
      </c>
      <c r="B49" s="4" t="n">
        <v>27853.63</v>
      </c>
      <c r="C49" s="4" t="n">
        <v>34573.33</v>
      </c>
      <c r="D49" s="4" t="n">
        <v>35484.63</v>
      </c>
      <c r="E49" s="4" t="n">
        <v>113741.33</v>
      </c>
    </row>
    <row r="50">
      <c r="A50" s="12" t="inlineStr">
        <is>
          <t>Excess Liquidity 超额流动性</t>
        </is>
      </c>
      <c r="B50" s="13" t="n">
        <v>540660.5699999999</v>
      </c>
      <c r="C50" s="13" t="n">
        <v>534723.45</v>
      </c>
      <c r="D50" s="13" t="n">
        <v>541725.8</v>
      </c>
      <c r="E50" s="13" t="n">
        <v>492690.4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68232.84</v>
      </c>
      <c r="C55" s="4" t="n">
        <v>85905.99000000001</v>
      </c>
      <c r="D55" s="4" t="n">
        <v>90309.06</v>
      </c>
      <c r="E55" s="4" t="n">
        <v>273041.59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68232.84</v>
      </c>
      <c r="C57" s="4" t="n">
        <v>85905.99000000001</v>
      </c>
      <c r="D57" s="4" t="n">
        <v>90309.06</v>
      </c>
      <c r="E57" s="4" t="n">
        <v>273041.59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68232.84</v>
      </c>
      <c r="C59" s="4" t="n">
        <v>85905.99000000001</v>
      </c>
      <c r="D59" s="4" t="n">
        <v>90309.06</v>
      </c>
      <c r="E59" s="4" t="n">
        <v>273041.59</v>
      </c>
    </row>
    <row r="60">
      <c r="A60" s="12" t="inlineStr">
        <is>
          <t>Short Book — Allocated Capital 分配资本</t>
        </is>
      </c>
      <c r="B60" s="13" t="n">
        <v>1420.71</v>
      </c>
      <c r="C60" s="13" t="n">
        <v>1739.21</v>
      </c>
      <c r="D60" s="13" t="n">
        <v>1742.28</v>
      </c>
      <c r="E60" s="13" t="n">
        <v>5913.3</v>
      </c>
    </row>
    <row r="61">
      <c r="A61" s="10" t="inlineStr">
        <is>
          <t>Short Book — Collateral 担保金</t>
        </is>
      </c>
      <c r="B61" s="4" t="n">
        <v>1420.71</v>
      </c>
      <c r="C61" s="4" t="n">
        <v>1739.21</v>
      </c>
      <c r="D61" s="4" t="n">
        <v>1742.28</v>
      </c>
      <c r="E61" s="4" t="n">
        <v>5913.3</v>
      </c>
    </row>
    <row r="62">
      <c r="A62" s="12" t="inlineStr">
        <is>
          <t>Short Book — Short Proceeds 做空收入</t>
        </is>
      </c>
      <c r="B62" s="13" t="n">
        <v>71035.3</v>
      </c>
      <c r="C62" s="13" t="n">
        <v>86960.64999999999</v>
      </c>
      <c r="D62" s="13" t="n">
        <v>87114.08</v>
      </c>
      <c r="E62" s="13" t="n">
        <v>295665.04</v>
      </c>
    </row>
    <row r="63">
      <c r="A63" s="10" t="inlineStr">
        <is>
          <t>Short Book — Market Value 市值(负债)</t>
        </is>
      </c>
      <c r="B63" s="4" t="n">
        <v>71035.3</v>
      </c>
      <c r="C63" s="4" t="n">
        <v>86960.64999999999</v>
      </c>
      <c r="D63" s="4" t="n">
        <v>87114.08</v>
      </c>
      <c r="E63" s="4" t="n">
        <v>295665.04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1420.71</v>
      </c>
      <c r="C65" s="4" t="n">
        <v>1739.21</v>
      </c>
      <c r="D65" s="4" t="n">
        <v>1742.28</v>
      </c>
      <c r="E65" s="4" t="n">
        <v>5913.3</v>
      </c>
    </row>
    <row r="66">
      <c r="A66" s="12" t="inlineStr">
        <is>
          <t>Unallocated Cash 未分配现金</t>
        </is>
      </c>
      <c r="B66" s="13" t="n">
        <v>498860.65</v>
      </c>
      <c r="C66" s="13" t="n">
        <v>481651.58</v>
      </c>
      <c r="D66" s="13" t="n">
        <v>485159.09</v>
      </c>
      <c r="E66" s="13" t="n">
        <v>327476.84</v>
      </c>
    </row>
    <row r="67">
      <c r="A67" s="16" t="inlineStr">
        <is>
          <t>Dual-View NAV 双账户法NAV</t>
        </is>
      </c>
      <c r="B67" s="4" t="n">
        <v>568514.2</v>
      </c>
      <c r="C67" s="4" t="n">
        <v>569296.78</v>
      </c>
      <c r="D67" s="4" t="n">
        <v>577210.4300000001</v>
      </c>
      <c r="E67" s="4" t="n">
        <v>606431.73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23766.23</v>
      </c>
    </row>
    <row r="74">
      <c r="A74" s="12" t="inlineStr">
        <is>
          <t>Restricted Cash 受限现金 (PB 102%)</t>
        </is>
      </c>
      <c r="B74" s="13" t="n">
        <v>333860.17</v>
      </c>
      <c r="C74" s="13" t="n">
        <v>730656.89</v>
      </c>
      <c r="D74" s="13" t="n">
        <v>1264415.64</v>
      </c>
      <c r="E74" s="13" t="n">
        <v>529518.1</v>
      </c>
    </row>
    <row r="75">
      <c r="A75" s="10" t="inlineStr">
        <is>
          <t>Long Securities 多头证券</t>
        </is>
      </c>
      <c r="B75" s="4" t="n">
        <v>710313.34</v>
      </c>
      <c r="C75" s="4" t="n">
        <v>1538388.75</v>
      </c>
      <c r="D75" s="4" t="n">
        <v>1663534.37</v>
      </c>
      <c r="E75" s="4" t="n">
        <v>396834.35</v>
      </c>
    </row>
    <row r="76">
      <c r="A76" s="14" t="inlineStr">
        <is>
          <t>Total Assets 总资产</t>
        </is>
      </c>
      <c r="B76" s="13" t="n">
        <v>1044173.51</v>
      </c>
      <c r="C76" s="13" t="n">
        <v>2269045.64</v>
      </c>
      <c r="D76" s="13" t="n">
        <v>2927950.01</v>
      </c>
      <c r="E76" s="13" t="n">
        <v>950118.6800000001</v>
      </c>
    </row>
    <row r="77">
      <c r="A77" s="10" t="inlineStr">
        <is>
          <t>Short Securities 空头证券 (义务)</t>
        </is>
      </c>
      <c r="B77" s="4" t="n">
        <v>327313.89</v>
      </c>
      <c r="C77" s="4" t="n">
        <v>716330.29</v>
      </c>
      <c r="D77" s="4" t="n">
        <v>1239623.18</v>
      </c>
      <c r="E77" s="4" t="n">
        <v>519135.39</v>
      </c>
    </row>
    <row r="78">
      <c r="A78" s="12" t="inlineStr">
        <is>
          <t>Margin Loan 保证金借款</t>
        </is>
      </c>
      <c r="B78" s="13" t="n">
        <v>221573.02</v>
      </c>
      <c r="C78" s="13" t="n">
        <v>1114810.37</v>
      </c>
      <c r="D78" s="13" t="n">
        <v>1260729.85</v>
      </c>
      <c r="E78" s="15" t="n">
        <v>0</v>
      </c>
    </row>
    <row r="79">
      <c r="A79" s="16" t="inlineStr">
        <is>
          <t>Total Liabilities 总负债</t>
        </is>
      </c>
      <c r="B79" s="4" t="n">
        <v>548886.91</v>
      </c>
      <c r="C79" s="4" t="n">
        <v>1831140.65</v>
      </c>
      <c r="D79" s="4" t="n">
        <v>2500353.03</v>
      </c>
      <c r="E79" s="4" t="n">
        <v>519135.39</v>
      </c>
    </row>
    <row r="80">
      <c r="A80" s="14" t="inlineStr">
        <is>
          <t>NAV (Equity) 净值 = TA - TL</t>
        </is>
      </c>
      <c r="B80" s="13" t="n">
        <v>495286.6</v>
      </c>
      <c r="C80" s="13" t="n">
        <v>437904.99</v>
      </c>
      <c r="D80" s="13" t="n">
        <v>427596.98</v>
      </c>
      <c r="E80" s="13" t="n">
        <v>430983.29</v>
      </c>
    </row>
    <row r="81">
      <c r="A81" s="10" t="inlineStr">
        <is>
          <t>Gross Leverage 总杠杆 (x)</t>
        </is>
      </c>
      <c r="B81" s="7" t="n">
        <v>2.095</v>
      </c>
      <c r="C81" s="7" t="n">
        <v>5.149</v>
      </c>
      <c r="D81" s="7" t="n">
        <v>6.789</v>
      </c>
      <c r="E81" s="7" t="n">
        <v>2.125</v>
      </c>
    </row>
    <row r="82">
      <c r="A82" s="12" t="inlineStr">
        <is>
          <t>Net Leverage 净杠杆 (x)</t>
        </is>
      </c>
      <c r="B82" s="17" t="n">
        <v>0.773</v>
      </c>
      <c r="C82" s="17" t="n">
        <v>1.877</v>
      </c>
      <c r="D82" s="17" t="n">
        <v>0.991</v>
      </c>
      <c r="E82" s="17" t="n">
        <v>-0.284</v>
      </c>
    </row>
    <row r="83">
      <c r="A83" s="10" t="inlineStr">
        <is>
          <t>PM Requirement (20%)</t>
        </is>
      </c>
      <c r="B83" s="4" t="n">
        <v>207525.45</v>
      </c>
      <c r="C83" s="4" t="n">
        <v>450943.81</v>
      </c>
      <c r="D83" s="4" t="n">
        <v>580631.51</v>
      </c>
      <c r="E83" s="4" t="n">
        <v>183193.95</v>
      </c>
    </row>
    <row r="84">
      <c r="A84" s="12" t="inlineStr">
        <is>
          <t>Excess Liquidity 超额流动性</t>
        </is>
      </c>
      <c r="B84" s="13" t="n">
        <v>287761.15</v>
      </c>
      <c r="C84" s="18" t="n">
        <v>-13038.82</v>
      </c>
      <c r="D84" s="18" t="n">
        <v>-153034.53</v>
      </c>
      <c r="E84" s="13" t="n">
        <v>247789.34</v>
      </c>
    </row>
    <row r="85">
      <c r="A85" s="10" t="inlineStr">
        <is>
          <t>Balance Check (≈0)</t>
        </is>
      </c>
      <c r="B85" s="7" t="n">
        <v>0</v>
      </c>
      <c r="C85" s="7" t="n">
        <v>-0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495286.6</v>
      </c>
      <c r="C89" s="4" t="n">
        <v>437904.99</v>
      </c>
      <c r="D89" s="4" t="n">
        <v>427596.98</v>
      </c>
      <c r="E89" s="4" t="n">
        <v>396834.35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710313.34</v>
      </c>
      <c r="C91" s="4" t="n">
        <v>1538388.75</v>
      </c>
      <c r="D91" s="4" t="n">
        <v>1663534.37</v>
      </c>
      <c r="E91" s="4" t="n">
        <v>396834.35</v>
      </c>
    </row>
    <row r="92">
      <c r="A92" s="12" t="inlineStr">
        <is>
          <t>Long Book — Margin Loan 融资</t>
        </is>
      </c>
      <c r="B92" s="13" t="n">
        <v>215026.74</v>
      </c>
      <c r="C92" s="13" t="n">
        <v>1100483.76</v>
      </c>
      <c r="D92" s="13" t="n">
        <v>1235937.39</v>
      </c>
      <c r="E92" s="15" t="n">
        <v>0</v>
      </c>
    </row>
    <row r="93">
      <c r="A93" s="16" t="inlineStr">
        <is>
          <t>Long Book — NAV</t>
        </is>
      </c>
      <c r="B93" s="4" t="n">
        <v>495286.6</v>
      </c>
      <c r="C93" s="4" t="n">
        <v>437904.99</v>
      </c>
      <c r="D93" s="4" t="n">
        <v>427596.98</v>
      </c>
      <c r="E93" s="4" t="n">
        <v>396834.35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10382.71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10382.71</v>
      </c>
    </row>
    <row r="96">
      <c r="A96" s="12" t="inlineStr">
        <is>
          <t>Short Book — Short Proceeds 做空收入</t>
        </is>
      </c>
      <c r="B96" s="13" t="n">
        <v>327313.89</v>
      </c>
      <c r="C96" s="13" t="n">
        <v>716330.29</v>
      </c>
      <c r="D96" s="13" t="n">
        <v>1239623.18</v>
      </c>
      <c r="E96" s="13" t="n">
        <v>519135.39</v>
      </c>
    </row>
    <row r="97">
      <c r="A97" s="10" t="inlineStr">
        <is>
          <t>Short Book — Market Value 市值(负债)</t>
        </is>
      </c>
      <c r="B97" s="4" t="n">
        <v>327313.89</v>
      </c>
      <c r="C97" s="4" t="n">
        <v>716330.29</v>
      </c>
      <c r="D97" s="4" t="n">
        <v>1239623.18</v>
      </c>
      <c r="E97" s="4" t="n">
        <v>519135.39</v>
      </c>
    </row>
    <row r="98">
      <c r="A98" s="12" t="inlineStr">
        <is>
          <t>Short Book — Margin Loan 融资(2%)</t>
        </is>
      </c>
      <c r="B98" s="13" t="n">
        <v>6546.28</v>
      </c>
      <c r="C98" s="13" t="n">
        <v>14326.61</v>
      </c>
      <c r="D98" s="13" t="n">
        <v>24792.46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10382.71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23766.23</v>
      </c>
    </row>
    <row r="101">
      <c r="A101" s="16" t="inlineStr">
        <is>
          <t>Dual-View NAV 双账户法NAV</t>
        </is>
      </c>
      <c r="B101" s="4" t="n">
        <v>495286.6</v>
      </c>
      <c r="C101" s="4" t="n">
        <v>437904.99</v>
      </c>
      <c r="D101" s="4" t="n">
        <v>427596.98</v>
      </c>
      <c r="E101" s="4" t="n">
        <v>430983.29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56599.03</v>
      </c>
      <c r="C5" s="4" t="n">
        <v>58993.39</v>
      </c>
      <c r="D5" s="4" t="n">
        <v>26385.77</v>
      </c>
      <c r="E5" s="4" t="n">
        <v>142302.01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19" t="n">
        <v>-92691.44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-782.58</v>
      </c>
      <c r="C11" s="19" t="n">
        <v>-8696.23</v>
      </c>
      <c r="D11" s="19" t="n">
        <v>-37917.53</v>
      </c>
      <c r="E11" s="4" t="n">
        <v>59182.26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9" t="n">
        <v>-496.64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57381.61</v>
      </c>
      <c r="C17" s="4" t="n">
        <v>67689.62</v>
      </c>
      <c r="D17" s="4" t="n">
        <v>64303.31</v>
      </c>
      <c r="E17" s="4" t="n">
        <v>83119.75</v>
      </c>
    </row>
    <row r="18">
      <c r="A18" s="12" t="inlineStr">
        <is>
          <t>Interest expense (est)</t>
        </is>
      </c>
      <c r="B18" s="15" t="n">
        <v>30.35</v>
      </c>
      <c r="C18" s="13" t="n">
        <v>151.76</v>
      </c>
      <c r="D18" s="13" t="n">
        <v>637.4</v>
      </c>
      <c r="E18" s="13" t="n">
        <v>4552.87</v>
      </c>
    </row>
    <row r="19">
      <c r="A19" s="10" t="inlineStr">
        <is>
          <t>Current unrealized PnL</t>
        </is>
      </c>
      <c r="B19" s="19" t="n">
        <v>-92194.8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1007201.77</v>
      </c>
      <c r="C5" s="4" t="n">
        <v>1004807.41</v>
      </c>
      <c r="D5" s="4" t="n">
        <v>1037415.03</v>
      </c>
      <c r="E5" s="4" t="n">
        <v>921498.79</v>
      </c>
    </row>
    <row r="6">
      <c r="A6" s="12" t="inlineStr">
        <is>
          <t>Net income</t>
        </is>
      </c>
      <c r="B6" s="13" t="n">
        <v>56599.03</v>
      </c>
      <c r="C6" s="13" t="n">
        <v>58993.39</v>
      </c>
      <c r="D6" s="13" t="n">
        <v>26385.77</v>
      </c>
      <c r="E6" s="13" t="n">
        <v>142302.01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1063800.8</v>
      </c>
      <c r="C9" s="4" t="n">
        <v>1063800.8</v>
      </c>
      <c r="D9" s="4" t="n">
        <v>1063800.8</v>
      </c>
      <c r="E9" s="4" t="n">
        <v>1063800.8</v>
      </c>
    </row>
    <row r="10">
      <c r="A10" s="12" t="inlineStr">
        <is>
          <t>Return (%)</t>
        </is>
      </c>
      <c r="B10" s="20" t="n">
        <v>5.62</v>
      </c>
      <c r="C10" s="20" t="n">
        <v>5.87</v>
      </c>
      <c r="D10" s="20" t="n">
        <v>2.54</v>
      </c>
      <c r="E10" s="20" t="n">
        <v>15.44</v>
      </c>
    </row>
    <row r="11">
      <c r="A11" s="10" t="inlineStr">
        <is>
          <t>Max drawdown (%)</t>
        </is>
      </c>
      <c r="B11" s="21" t="n">
        <v>0</v>
      </c>
      <c r="C11" s="22" t="n">
        <v>-9.41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569296.78</v>
      </c>
      <c r="C15" s="4" t="n">
        <v>577210.4300000001</v>
      </c>
      <c r="D15" s="4" t="n">
        <v>606431.73</v>
      </c>
      <c r="E15" s="4" t="n">
        <v>509331.94</v>
      </c>
    </row>
    <row r="16">
      <c r="A16" s="12" t="inlineStr">
        <is>
          <t>Net income</t>
        </is>
      </c>
      <c r="B16" s="18" t="n">
        <v>-782.58</v>
      </c>
      <c r="C16" s="18" t="n">
        <v>-8696.23</v>
      </c>
      <c r="D16" s="18" t="n">
        <v>-37917.53</v>
      </c>
      <c r="E16" s="13" t="n">
        <v>59182.26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568514.2</v>
      </c>
      <c r="C19" s="4" t="n">
        <v>568514.2</v>
      </c>
      <c r="D19" s="4" t="n">
        <v>568514.2</v>
      </c>
      <c r="E19" s="4" t="n">
        <v>568514.2</v>
      </c>
    </row>
    <row r="20">
      <c r="A20" s="12" t="inlineStr">
        <is>
          <t>Return (%)</t>
        </is>
      </c>
      <c r="B20" s="23" t="n">
        <v>-0.14</v>
      </c>
      <c r="C20" s="23" t="n">
        <v>-1.51</v>
      </c>
      <c r="D20" s="23" t="n">
        <v>-6.25</v>
      </c>
      <c r="E20" s="20" t="n">
        <v>11.62</v>
      </c>
    </row>
    <row r="21">
      <c r="A21" s="10" t="inlineStr">
        <is>
          <t>Max drawdown (%)</t>
        </is>
      </c>
      <c r="B21" s="22" t="n">
        <v>-0.14</v>
      </c>
      <c r="C21" s="22" t="n">
        <v>-1.51</v>
      </c>
      <c r="D21" s="22" t="n">
        <v>-6.71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437904.99</v>
      </c>
      <c r="C25" s="4" t="n">
        <v>427596.98</v>
      </c>
      <c r="D25" s="4" t="n">
        <v>430983.29</v>
      </c>
      <c r="E25" s="4" t="n">
        <v>412166.85</v>
      </c>
    </row>
    <row r="26">
      <c r="A26" s="12" t="inlineStr">
        <is>
          <t>Net income</t>
        </is>
      </c>
      <c r="B26" s="13" t="n">
        <v>57381.61</v>
      </c>
      <c r="C26" s="13" t="n">
        <v>67689.62</v>
      </c>
      <c r="D26" s="13" t="n">
        <v>64303.31</v>
      </c>
      <c r="E26" s="13" t="n">
        <v>83119.75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495286.6</v>
      </c>
      <c r="C29" s="4" t="n">
        <v>495286.6</v>
      </c>
      <c r="D29" s="4" t="n">
        <v>495286.6</v>
      </c>
      <c r="E29" s="4" t="n">
        <v>495286.6</v>
      </c>
    </row>
    <row r="30">
      <c r="A30" s="12" t="inlineStr">
        <is>
          <t>Return (%)</t>
        </is>
      </c>
      <c r="B30" s="20" t="n">
        <v>13.1</v>
      </c>
      <c r="C30" s="20" t="n">
        <v>15.83</v>
      </c>
      <c r="D30" s="20" t="n">
        <v>14.92</v>
      </c>
      <c r="E30" s="20" t="n">
        <v>20.17</v>
      </c>
    </row>
    <row r="31">
      <c r="A31" s="10" t="inlineStr">
        <is>
          <t>Max drawdown (%)</t>
        </is>
      </c>
      <c r="B31" s="21" t="n">
        <v>0</v>
      </c>
      <c r="C31" s="22" t="n">
        <v>-18.48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58993.39</v>
      </c>
    </row>
    <row r="5">
      <c r="A5" s="3" t="inlineStr">
        <is>
          <t>Investing cash flow</t>
        </is>
      </c>
      <c r="B5" s="4" t="n">
        <v>46909.18</v>
      </c>
    </row>
    <row r="6">
      <c r="A6" s="3" t="inlineStr">
        <is>
          <t>Financing cash flow</t>
        </is>
      </c>
      <c r="B6" s="19" t="n">
        <v>-775570.76</v>
      </c>
    </row>
    <row r="7">
      <c r="A7" s="3" t="inlineStr">
        <is>
          <t>Net change in cash</t>
        </is>
      </c>
      <c r="B7" s="19" t="n">
        <v>-669668.1899999999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277287.63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1063800.8</v>
      </c>
      <c r="C4" s="4" t="n">
        <v>778546.1800000001</v>
      </c>
      <c r="D4" s="4" t="n">
        <v>398349.19</v>
      </c>
      <c r="E4" s="4" t="n">
        <v>1176895.37</v>
      </c>
      <c r="F4" s="4" t="n">
        <v>380196.99</v>
      </c>
      <c r="G4" s="5" t="n">
        <v>1.106</v>
      </c>
      <c r="H4" s="5" t="n">
        <v>0.357</v>
      </c>
      <c r="I4" s="5" t="n">
        <v>110.63</v>
      </c>
      <c r="J4" s="5" t="n">
        <v>55.32</v>
      </c>
      <c r="K4" s="24" t="n">
        <v>8</v>
      </c>
    </row>
    <row r="5">
      <c r="A5" s="12" t="inlineStr">
        <is>
          <t>MRPT</t>
        </is>
      </c>
      <c r="B5" s="13" t="n">
        <v>568514.2</v>
      </c>
      <c r="C5" s="13" t="n">
        <v>68232.84</v>
      </c>
      <c r="D5" s="13" t="n">
        <v>71035.3</v>
      </c>
      <c r="E5" s="13" t="n">
        <v>139268.14</v>
      </c>
      <c r="F5" s="18" t="n">
        <v>-2802.46</v>
      </c>
      <c r="G5" s="25" t="n">
        <v>0.245</v>
      </c>
      <c r="H5" s="25" t="n">
        <v>-0.005</v>
      </c>
      <c r="I5" s="25" t="n">
        <v>24.5</v>
      </c>
      <c r="J5" s="25" t="n">
        <v>12.25</v>
      </c>
      <c r="K5" s="26" t="n">
        <v>1</v>
      </c>
    </row>
    <row r="6">
      <c r="A6" s="10" t="inlineStr">
        <is>
          <t>MTFS</t>
        </is>
      </c>
      <c r="B6" s="4" t="n">
        <v>495286.6</v>
      </c>
      <c r="C6" s="4" t="n">
        <v>710313.34</v>
      </c>
      <c r="D6" s="4" t="n">
        <v>327313.89</v>
      </c>
      <c r="E6" s="4" t="n">
        <v>1037627.23</v>
      </c>
      <c r="F6" s="4" t="n">
        <v>382999.45</v>
      </c>
      <c r="G6" s="5" t="n">
        <v>2.095</v>
      </c>
      <c r="H6" s="5" t="n">
        <v>0.773</v>
      </c>
      <c r="I6" s="5" t="n">
        <v>209.5</v>
      </c>
      <c r="J6" s="5" t="n">
        <v>104.75</v>
      </c>
      <c r="K6" s="24" t="n">
        <v>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HHI=0.1472  ·  effective N pairs=6.8  ·  max pair=22.14%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STLD</t>
        </is>
      </c>
      <c r="B6" s="4" t="n">
        <v>237273.6</v>
      </c>
      <c r="C6" s="4" t="n">
        <v>237273.6</v>
      </c>
      <c r="D6" s="21" t="n">
        <v>22.3</v>
      </c>
      <c r="E6" s="21" t="n">
        <v>20.16</v>
      </c>
      <c r="F6" s="24" t="n">
        <v>2</v>
      </c>
    </row>
    <row r="7">
      <c r="A7" s="12" t="inlineStr">
        <is>
          <t>BWA</t>
        </is>
      </c>
      <c r="B7" s="13" t="n">
        <v>178953.74</v>
      </c>
      <c r="C7" s="13" t="n">
        <v>178953.74</v>
      </c>
      <c r="D7" s="20" t="n">
        <v>16.82</v>
      </c>
      <c r="E7" s="20" t="n">
        <v>15.21</v>
      </c>
      <c r="F7" s="26" t="n">
        <v>1</v>
      </c>
    </row>
    <row r="8">
      <c r="A8" s="10" t="inlineStr">
        <is>
          <t>NUE</t>
        </is>
      </c>
      <c r="B8" s="4" t="n">
        <v>166737.2</v>
      </c>
      <c r="C8" s="4" t="n">
        <v>166737.2</v>
      </c>
      <c r="D8" s="21" t="n">
        <v>15.67</v>
      </c>
      <c r="E8" s="21" t="n">
        <v>14.17</v>
      </c>
      <c r="F8" s="24" t="n">
        <v>2</v>
      </c>
    </row>
    <row r="9">
      <c r="A9" s="12" t="inlineStr">
        <is>
          <t>CSCO</t>
        </is>
      </c>
      <c r="B9" s="13" t="n">
        <v>113224.8</v>
      </c>
      <c r="C9" s="13" t="n">
        <v>113224.8</v>
      </c>
      <c r="D9" s="20" t="n">
        <v>10.64</v>
      </c>
      <c r="E9" s="20" t="n">
        <v>9.619999999999999</v>
      </c>
      <c r="F9" s="26" t="n">
        <v>1</v>
      </c>
    </row>
    <row r="10">
      <c r="A10" s="10" t="inlineStr">
        <is>
          <t>VLTO</t>
        </is>
      </c>
      <c r="B10" s="4" t="n">
        <v>81598.50999999999</v>
      </c>
      <c r="C10" s="19" t="n">
        <v>-81598.50999999999</v>
      </c>
      <c r="D10" s="21" t="n">
        <v>7.67</v>
      </c>
      <c r="E10" s="21" t="n">
        <v>6.93</v>
      </c>
      <c r="F10" s="24" t="n">
        <v>1</v>
      </c>
    </row>
    <row r="11">
      <c r="A11" s="12" t="inlineStr">
        <is>
          <t>AON</t>
        </is>
      </c>
      <c r="B11" s="13" t="n">
        <v>71035.3</v>
      </c>
      <c r="C11" s="18" t="n">
        <v>-71035.3</v>
      </c>
      <c r="D11" s="20" t="n">
        <v>6.68</v>
      </c>
      <c r="E11" s="20" t="n">
        <v>6.04</v>
      </c>
      <c r="F11" s="26" t="n">
        <v>1</v>
      </c>
    </row>
    <row r="12">
      <c r="A12" s="10" t="inlineStr">
        <is>
          <t>REGN</t>
        </is>
      </c>
      <c r="B12" s="4" t="n">
        <v>68470.08</v>
      </c>
      <c r="C12" s="19" t="n">
        <v>-68470.08</v>
      </c>
      <c r="D12" s="21" t="n">
        <v>6.44</v>
      </c>
      <c r="E12" s="21" t="n">
        <v>5.82</v>
      </c>
      <c r="F12" s="24" t="n">
        <v>2</v>
      </c>
    </row>
    <row r="13">
      <c r="A13" s="12" t="inlineStr">
        <is>
          <t>BR</t>
        </is>
      </c>
      <c r="B13" s="13" t="n">
        <v>68232.84</v>
      </c>
      <c r="C13" s="13" t="n">
        <v>68232.84</v>
      </c>
      <c r="D13" s="20" t="n">
        <v>6.41</v>
      </c>
      <c r="E13" s="20" t="n">
        <v>5.8</v>
      </c>
      <c r="F13" s="26" t="n">
        <v>1</v>
      </c>
    </row>
    <row r="14">
      <c r="A14" s="10" t="inlineStr">
        <is>
          <t>HII</t>
        </is>
      </c>
      <c r="B14" s="4" t="n">
        <v>52022.28</v>
      </c>
      <c r="C14" s="19" t="n">
        <v>-52022.28</v>
      </c>
      <c r="D14" s="21" t="n">
        <v>4.89</v>
      </c>
      <c r="E14" s="21" t="n">
        <v>4.42</v>
      </c>
      <c r="F14" s="24" t="n">
        <v>1</v>
      </c>
    </row>
    <row r="15">
      <c r="A15" s="12" t="inlineStr">
        <is>
          <t>UHS</t>
        </is>
      </c>
      <c r="B15" s="13" t="n">
        <v>51147.46</v>
      </c>
      <c r="C15" s="18" t="n">
        <v>-51147.46</v>
      </c>
      <c r="D15" s="20" t="n">
        <v>4.81</v>
      </c>
      <c r="E15" s="20" t="n">
        <v>4.35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materials</t>
        </is>
      </c>
      <c r="B20" s="4" t="n">
        <v>404010.8</v>
      </c>
      <c r="C20" s="11" t="n">
        <v>0</v>
      </c>
      <c r="D20" s="4" t="n">
        <v>404010.8</v>
      </c>
      <c r="E20" s="7" t="n">
        <v>34.33</v>
      </c>
    </row>
    <row r="21">
      <c r="A21" s="12" t="inlineStr">
        <is>
          <t>health</t>
        </is>
      </c>
      <c r="B21" s="15" t="n">
        <v>0</v>
      </c>
      <c r="C21" s="13" t="n">
        <v>201216.05</v>
      </c>
      <c r="D21" s="18" t="n">
        <v>-201216.05</v>
      </c>
      <c r="E21" s="17" t="n">
        <v>-17.1</v>
      </c>
    </row>
    <row r="22">
      <c r="A22" s="10" t="inlineStr">
        <is>
          <t>industrial</t>
        </is>
      </c>
      <c r="B22" s="4" t="n">
        <v>178953.74</v>
      </c>
      <c r="C22" s="4" t="n">
        <v>52022.28</v>
      </c>
      <c r="D22" s="4" t="n">
        <v>126931.46</v>
      </c>
      <c r="E22" s="7" t="n">
        <v>10.79</v>
      </c>
    </row>
    <row r="23">
      <c r="A23" s="12" t="inlineStr">
        <is>
          <t>tech</t>
        </is>
      </c>
      <c r="B23" s="13" t="n">
        <v>127348.8</v>
      </c>
      <c r="C23" s="13" t="n">
        <v>74075.56</v>
      </c>
      <c r="D23" s="13" t="n">
        <v>53273.24</v>
      </c>
      <c r="E23" s="17" t="n">
        <v>4.53</v>
      </c>
    </row>
    <row r="24">
      <c r="A24" s="10" t="inlineStr">
        <is>
          <t>finance</t>
        </is>
      </c>
      <c r="B24" s="4" t="n">
        <v>68232.84</v>
      </c>
      <c r="C24" s="4" t="n">
        <v>71035.3</v>
      </c>
      <c r="D24" s="19" t="n">
        <v>-2802.46</v>
      </c>
      <c r="E24" s="7" t="n">
        <v>-0.24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0.509</v>
      </c>
    </row>
    <row r="4">
      <c r="A4" s="3" t="inlineStr">
        <is>
          <t>Gross beta</t>
        </is>
      </c>
      <c r="B4" s="6" t="n">
        <v>0.702</v>
      </c>
    </row>
    <row r="5">
      <c r="A5" s="3" t="inlineStr">
        <is>
          <t>Momentum factor net (% NAV)</t>
        </is>
      </c>
      <c r="B5" s="5" t="n">
        <v>36</v>
      </c>
    </row>
    <row r="6">
      <c r="A6" s="3" t="inlineStr">
        <is>
          <t>Beta data insufficient</t>
        </is>
      </c>
      <c r="B6" s="7" t="inlineStr">
        <is>
          <t>BWA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materials</t>
        </is>
      </c>
      <c r="B10" s="21" t="n">
        <v>34.33</v>
      </c>
    </row>
    <row r="11">
      <c r="A11" s="12" t="inlineStr">
        <is>
          <t>health</t>
        </is>
      </c>
      <c r="B11" s="23" t="n">
        <v>-17.1</v>
      </c>
    </row>
    <row r="12">
      <c r="A12" s="10" t="inlineStr">
        <is>
          <t>industrial</t>
        </is>
      </c>
      <c r="B12" s="21" t="n">
        <v>10.79</v>
      </c>
    </row>
    <row r="13">
      <c r="A13" s="12" t="inlineStr">
        <is>
          <t>tech</t>
        </is>
      </c>
      <c r="B13" s="20" t="n">
        <v>4.53</v>
      </c>
    </row>
    <row r="14">
      <c r="A14" s="10" t="inlineStr">
        <is>
          <t>finance</t>
        </is>
      </c>
      <c r="B14" s="22" t="n">
        <v>-0.24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15859.14</v>
      </c>
    </row>
    <row r="4">
      <c r="A4" s="3" t="inlineStr">
        <is>
          <t>Parametric VaR 99% 1d ($)</t>
        </is>
      </c>
      <c r="B4" s="4" t="n">
        <v>22424.53</v>
      </c>
    </row>
    <row r="5">
      <c r="A5" s="3" t="inlineStr">
        <is>
          <t>Annual vol ($)</t>
        </is>
      </c>
      <c r="B5" s="4" t="n">
        <v>153043.19</v>
      </c>
    </row>
    <row r="6">
      <c r="A6" s="3" t="inlineStr">
        <is>
          <t>Annual vol (% NAV)</t>
        </is>
      </c>
      <c r="B6" s="5" t="n">
        <v>14.39</v>
      </c>
    </row>
    <row r="7">
      <c r="A7" s="3" t="inlineStr">
        <is>
          <t>Historical VaR 95% 1d ($)</t>
        </is>
      </c>
      <c r="B7" s="4" t="n">
        <v>8473.620000000001</v>
      </c>
    </row>
    <row r="8">
      <c r="A8" s="3" t="inlineStr">
        <is>
          <t>Historical CVaR 95% 1d ($)</t>
        </is>
      </c>
      <c r="B8" s="4" t="n">
        <v>17345.87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STLD/HII</t>
        </is>
      </c>
      <c r="B12" s="4" t="n">
        <v>3792.35</v>
      </c>
      <c r="C12" s="7" t="n">
        <v>23.91</v>
      </c>
    </row>
    <row r="13">
      <c r="A13" s="12" t="inlineStr">
        <is>
          <t>STLD/UHS</t>
        </is>
      </c>
      <c r="B13" s="13" t="n">
        <v>3224.42</v>
      </c>
      <c r="C13" s="17" t="n">
        <v>20.33</v>
      </c>
    </row>
    <row r="14">
      <c r="A14" s="10" t="inlineStr">
        <is>
          <t>BWA/VLTO</t>
        </is>
      </c>
      <c r="B14" s="4" t="n">
        <v>2287.31</v>
      </c>
      <c r="C14" s="7" t="n">
        <v>14.42</v>
      </c>
    </row>
    <row r="15">
      <c r="A15" s="12" t="inlineStr">
        <is>
          <t>CSCO/REGN</t>
        </is>
      </c>
      <c r="B15" s="13" t="n">
        <v>2127.45</v>
      </c>
      <c r="C15" s="17" t="n">
        <v>13.41</v>
      </c>
    </row>
    <row r="16">
      <c r="A16" s="10" t="inlineStr">
        <is>
          <t>NUE/MKTX</t>
        </is>
      </c>
      <c r="B16" s="4" t="n">
        <v>2115.22</v>
      </c>
      <c r="C16" s="7" t="n">
        <v>13.34</v>
      </c>
    </row>
    <row r="17">
      <c r="A17" s="12" t="inlineStr">
        <is>
          <t>NUE/INTU</t>
        </is>
      </c>
      <c r="B17" s="13" t="n">
        <v>1807.8</v>
      </c>
      <c r="C17" s="17" t="n">
        <v>11.4</v>
      </c>
    </row>
    <row r="18">
      <c r="A18" s="10" t="inlineStr">
        <is>
          <t>KLAC/REGN</t>
        </is>
      </c>
      <c r="B18" s="4" t="n">
        <v>346.37</v>
      </c>
      <c r="C18" s="7" t="n">
        <v>2.18</v>
      </c>
    </row>
    <row r="19">
      <c r="A19" s="12" t="inlineStr">
        <is>
          <t>AON/BR</t>
        </is>
      </c>
      <c r="B19" s="13" t="n">
        <v>158.24</v>
      </c>
      <c r="C19" s="17" t="n">
        <v>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AON</t>
        </is>
      </c>
      <c r="B6" s="7" t="inlineStr">
        <is>
          <t>AON/BR</t>
        </is>
      </c>
      <c r="C6" s="4" t="n">
        <v>218</v>
      </c>
      <c r="D6" s="4" t="n">
        <v>1473191</v>
      </c>
      <c r="E6" s="7" t="n">
        <v>0</v>
      </c>
    </row>
    <row r="7">
      <c r="A7" s="12" t="inlineStr">
        <is>
          <t>BR</t>
        </is>
      </c>
      <c r="B7" s="17" t="inlineStr">
        <is>
          <t>AON/BR</t>
        </is>
      </c>
      <c r="C7" s="13" t="n">
        <v>458</v>
      </c>
      <c r="D7" s="13" t="n">
        <v>1680230</v>
      </c>
      <c r="E7" s="17" t="n">
        <v>0</v>
      </c>
    </row>
    <row r="8">
      <c r="A8" s="10" t="inlineStr">
        <is>
          <t>KLAC</t>
        </is>
      </c>
      <c r="B8" s="7" t="inlineStr">
        <is>
          <t>KLAC/REGN</t>
        </is>
      </c>
      <c r="C8" s="4" t="n">
        <v>670</v>
      </c>
      <c r="D8" s="4" t="n">
        <v>15386836</v>
      </c>
      <c r="E8" s="7" t="n">
        <v>0</v>
      </c>
    </row>
    <row r="9">
      <c r="A9" s="12" t="inlineStr">
        <is>
          <t>REGN</t>
        </is>
      </c>
      <c r="B9" s="17" t="inlineStr">
        <is>
          <t>KLAC/REGN</t>
        </is>
      </c>
      <c r="C9" s="15" t="n">
        <v>23</v>
      </c>
      <c r="D9" s="13" t="n">
        <v>1077780</v>
      </c>
      <c r="E9" s="17" t="n">
        <v>0</v>
      </c>
    </row>
    <row r="10">
      <c r="A10" s="10" t="inlineStr">
        <is>
          <t>NUE</t>
        </is>
      </c>
      <c r="B10" s="7" t="inlineStr">
        <is>
          <t>NUE/INTU</t>
        </is>
      </c>
      <c r="C10" s="4" t="n">
        <v>329</v>
      </c>
      <c r="D10" s="4" t="n">
        <v>1454295</v>
      </c>
      <c r="E10" s="7" t="n">
        <v>0</v>
      </c>
    </row>
    <row r="11">
      <c r="A11" s="12" t="inlineStr">
        <is>
          <t>INTU</t>
        </is>
      </c>
      <c r="B11" s="17" t="inlineStr">
        <is>
          <t>NUE/INTU</t>
        </is>
      </c>
      <c r="C11" s="15" t="n">
        <v>82</v>
      </c>
      <c r="D11" s="13" t="n">
        <v>5824113</v>
      </c>
      <c r="E11" s="17" t="n">
        <v>0</v>
      </c>
    </row>
    <row r="12">
      <c r="A12" s="10" t="inlineStr">
        <is>
          <t>CSCO</t>
        </is>
      </c>
      <c r="B12" s="7" t="inlineStr">
        <is>
          <t>CSCO/REGN</t>
        </is>
      </c>
      <c r="C12" s="4" t="n">
        <v>912</v>
      </c>
      <c r="D12" s="4" t="n">
        <v>30029173</v>
      </c>
      <c r="E12" s="7" t="n">
        <v>0</v>
      </c>
    </row>
    <row r="13">
      <c r="A13" s="12" t="inlineStr">
        <is>
          <t>REGN</t>
        </is>
      </c>
      <c r="B13" s="17" t="inlineStr">
        <is>
          <t>CSCO/REGN</t>
        </is>
      </c>
      <c r="C13" s="15" t="n">
        <v>89</v>
      </c>
      <c r="D13" s="13" t="n">
        <v>1077780</v>
      </c>
      <c r="E13" s="17" t="n">
        <v>0</v>
      </c>
    </row>
    <row r="14">
      <c r="A14" s="10" t="inlineStr">
        <is>
          <t>NUE</t>
        </is>
      </c>
      <c r="B14" s="7" t="inlineStr">
        <is>
          <t>NUE/MKTX</t>
        </is>
      </c>
      <c r="C14" s="4" t="n">
        <v>329</v>
      </c>
      <c r="D14" s="4" t="n">
        <v>1454295</v>
      </c>
      <c r="E14" s="7" t="n">
        <v>0</v>
      </c>
    </row>
    <row r="15">
      <c r="A15" s="12" t="inlineStr">
        <is>
          <t>MKTX</t>
        </is>
      </c>
      <c r="B15" s="17" t="inlineStr">
        <is>
          <t>NUE/MKTX</t>
        </is>
      </c>
      <c r="C15" s="13" t="n">
        <v>422</v>
      </c>
      <c r="D15" s="13" t="n">
        <v>721771</v>
      </c>
      <c r="E15" s="17" t="n">
        <v>0</v>
      </c>
    </row>
    <row r="16">
      <c r="A16" s="10" t="inlineStr">
        <is>
          <t>BWA</t>
        </is>
      </c>
      <c r="B16" s="7" t="inlineStr">
        <is>
          <t>BWA/VLTO</t>
        </is>
      </c>
      <c r="C16" s="4" t="n">
        <v>2359</v>
      </c>
      <c r="D16" s="4" t="n">
        <v>3851675</v>
      </c>
      <c r="E16" s="7" t="n">
        <v>0</v>
      </c>
    </row>
    <row r="17">
      <c r="A17" s="12" t="inlineStr">
        <is>
          <t>VLTO</t>
        </is>
      </c>
      <c r="B17" s="17" t="inlineStr">
        <is>
          <t>BWA/VLTO</t>
        </is>
      </c>
      <c r="C17" s="13" t="n">
        <v>961</v>
      </c>
      <c r="D17" s="13" t="n">
        <v>2488056</v>
      </c>
      <c r="E17" s="17" t="n">
        <v>0</v>
      </c>
    </row>
    <row r="18">
      <c r="A18" s="10" t="inlineStr">
        <is>
          <t>STLD</t>
        </is>
      </c>
      <c r="B18" s="7" t="inlineStr">
        <is>
          <t>STLD/HII</t>
        </is>
      </c>
      <c r="C18" s="4" t="n">
        <v>502</v>
      </c>
      <c r="D18" s="4" t="n">
        <v>1084249</v>
      </c>
      <c r="E18" s="7" t="n">
        <v>0</v>
      </c>
    </row>
    <row r="19">
      <c r="A19" s="12" t="inlineStr">
        <is>
          <t>HII</t>
        </is>
      </c>
      <c r="B19" s="17" t="inlineStr">
        <is>
          <t>STLD/HII</t>
        </is>
      </c>
      <c r="C19" s="13" t="n">
        <v>178</v>
      </c>
      <c r="D19" s="13" t="n">
        <v>521530</v>
      </c>
      <c r="E19" s="17" t="n">
        <v>0</v>
      </c>
    </row>
    <row r="20">
      <c r="A20" s="10" t="inlineStr">
        <is>
          <t>STLD</t>
        </is>
      </c>
      <c r="B20" s="7" t="inlineStr">
        <is>
          <t>STLD/UHS</t>
        </is>
      </c>
      <c r="C20" s="4" t="n">
        <v>386</v>
      </c>
      <c r="D20" s="4" t="n">
        <v>1084249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-27073.73</v>
      </c>
      <c r="C4" s="22" t="n">
        <v>-2.55</v>
      </c>
    </row>
    <row r="5">
      <c r="A5" s="12" t="inlineStr">
        <is>
          <t>SPY -10%</t>
        </is>
      </c>
      <c r="B5" s="18" t="n">
        <v>-54147.46</v>
      </c>
      <c r="C5" s="23" t="n">
        <v>-5.09</v>
      </c>
    </row>
    <row r="6">
      <c r="A6" s="10" t="inlineStr">
        <is>
          <t>VIX +10pt</t>
        </is>
      </c>
      <c r="B6" s="19" t="n">
        <v>-27073.73</v>
      </c>
      <c r="C6" s="22" t="n">
        <v>-2.55</v>
      </c>
    </row>
    <row r="7">
      <c r="A7" s="12" t="inlineStr">
        <is>
          <t>Top sector -10%</t>
        </is>
      </c>
      <c r="B7" s="18" t="n">
        <v>-40401.08</v>
      </c>
      <c r="C7" s="23" t="n">
        <v>-3.8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0.24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2.1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0.77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1" t="inlineStr">
        <is>
          <t>single_name_gross</t>
        </is>
      </c>
      <c r="B8" s="32" t="inlineStr">
        <is>
          <t>STLD</t>
        </is>
      </c>
      <c r="C8" s="32" t="n">
        <v>22.3</v>
      </c>
      <c r="D8" s="32" t="n">
        <v>15</v>
      </c>
      <c r="E8" s="32" t="n">
        <v>25</v>
      </c>
      <c r="F8" s="32" t="inlineStr">
        <is>
          <t>amber</t>
        </is>
      </c>
    </row>
    <row r="9">
      <c r="A9" s="31" t="inlineStr">
        <is>
          <t>single_name_gross</t>
        </is>
      </c>
      <c r="B9" s="32" t="inlineStr">
        <is>
          <t>BWA</t>
        </is>
      </c>
      <c r="C9" s="32" t="n">
        <v>16.82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31" t="inlineStr">
        <is>
          <t>single_name_gross</t>
        </is>
      </c>
      <c r="B10" s="32" t="inlineStr">
        <is>
          <t>NUE</t>
        </is>
      </c>
      <c r="C10" s="32" t="n">
        <v>15.67</v>
      </c>
      <c r="D10" s="32" t="n">
        <v>15</v>
      </c>
      <c r="E10" s="32" t="n">
        <v>25</v>
      </c>
      <c r="F10" s="32" t="inlineStr">
        <is>
          <t>amber</t>
        </is>
      </c>
    </row>
    <row r="11">
      <c r="A11" s="31" t="inlineStr">
        <is>
          <t>sector_net</t>
        </is>
      </c>
      <c r="B11" s="32" t="inlineStr">
        <is>
          <t>materials</t>
        </is>
      </c>
      <c r="C11" s="32" t="n">
        <v>34.33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22.14</v>
      </c>
      <c r="D12" s="32" t="n">
        <v>20</v>
      </c>
      <c r="E12" s="32" t="n">
        <v>35</v>
      </c>
      <c r="F12" s="32" t="inlineStr">
        <is>
          <t>amber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0.51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1.49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7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AON/BR</t>
        </is>
      </c>
      <c r="C4" s="17" t="inlineStr">
        <is>
          <t>AON</t>
        </is>
      </c>
      <c r="D4" s="17" t="inlineStr">
        <is>
          <t>short</t>
        </is>
      </c>
      <c r="E4" s="26" t="n">
        <v>-218</v>
      </c>
      <c r="F4" s="13" t="n">
        <v>325.85</v>
      </c>
      <c r="G4" s="18" t="n">
        <v>-71035.3</v>
      </c>
      <c r="H4" s="17" t="inlineStr">
        <is>
          <t>finance</t>
        </is>
      </c>
      <c r="I4" s="17" t="n">
        <v>0</v>
      </c>
      <c r="J4" s="17" t="inlineStr">
        <is>
          <t>static_threshold</t>
        </is>
      </c>
    </row>
    <row r="5">
      <c r="A5" s="10" t="inlineStr">
        <is>
          <t>MRPT</t>
        </is>
      </c>
      <c r="B5" s="7" t="inlineStr">
        <is>
          <t>AON/BR</t>
        </is>
      </c>
      <c r="C5" s="7" t="inlineStr">
        <is>
          <t>BR</t>
        </is>
      </c>
      <c r="D5" s="7" t="inlineStr">
        <is>
          <t>long</t>
        </is>
      </c>
      <c r="E5" s="24" t="n">
        <v>458</v>
      </c>
      <c r="F5" s="4" t="n">
        <v>148.98</v>
      </c>
      <c r="G5" s="4" t="n">
        <v>68232.84</v>
      </c>
      <c r="H5" s="7" t="inlineStr">
        <is>
          <t>finance</t>
        </is>
      </c>
      <c r="I5" s="7" t="n">
        <v>0</v>
      </c>
      <c r="J5" s="7" t="inlineStr">
        <is>
          <t>static_threshold</t>
        </is>
      </c>
    </row>
    <row r="6">
      <c r="A6" s="12" t="inlineStr">
        <is>
          <t>MTFS</t>
        </is>
      </c>
      <c r="B6" s="17" t="inlineStr">
        <is>
          <t>KLAC/REGN</t>
        </is>
      </c>
      <c r="C6" s="17" t="inlineStr">
        <is>
          <t>KLAC</t>
        </is>
      </c>
      <c r="D6" s="17" t="inlineStr">
        <is>
          <t>long</t>
        </is>
      </c>
      <c r="E6" s="26" t="n">
        <v>670</v>
      </c>
      <c r="F6" s="15" t="n">
        <v>21.08</v>
      </c>
      <c r="G6" s="13" t="n">
        <v>14124</v>
      </c>
      <c r="H6" s="17" t="inlineStr">
        <is>
          <t>tech</t>
        </is>
      </c>
      <c r="I6" s="17" t="n">
        <v>0</v>
      </c>
      <c r="J6" s="17" t="inlineStr">
        <is>
          <t>beta_neutral_long_term</t>
        </is>
      </c>
    </row>
    <row r="7">
      <c r="A7" s="10" t="inlineStr">
        <is>
          <t>MTFS</t>
        </is>
      </c>
      <c r="B7" s="7" t="inlineStr">
        <is>
          <t>KLAC/REGN</t>
        </is>
      </c>
      <c r="C7" s="7" t="inlineStr">
        <is>
          <t>REGN</t>
        </is>
      </c>
      <c r="D7" s="7" t="inlineStr">
        <is>
          <t>short</t>
        </is>
      </c>
      <c r="E7" s="24" t="n">
        <v>-23</v>
      </c>
      <c r="F7" s="4" t="n">
        <v>611.34</v>
      </c>
      <c r="G7" s="19" t="n">
        <v>-14060.82</v>
      </c>
      <c r="H7" s="7" t="inlineStr">
        <is>
          <t>health</t>
        </is>
      </c>
      <c r="I7" s="7" t="n">
        <v>0</v>
      </c>
      <c r="J7" s="7" t="inlineStr">
        <is>
          <t>beta_neutral_long_term</t>
        </is>
      </c>
    </row>
    <row r="8">
      <c r="A8" s="12" t="inlineStr">
        <is>
          <t>MTFS</t>
        </is>
      </c>
      <c r="B8" s="17" t="inlineStr">
        <is>
          <t>NUE/INTU</t>
        </is>
      </c>
      <c r="C8" s="17" t="inlineStr">
        <is>
          <t>NUE</t>
        </is>
      </c>
      <c r="D8" s="17" t="inlineStr">
        <is>
          <t>long</t>
        </is>
      </c>
      <c r="E8" s="26" t="n">
        <v>329</v>
      </c>
      <c r="F8" s="13" t="n">
        <v>253.4</v>
      </c>
      <c r="G8" s="13" t="n">
        <v>83368.60000000001</v>
      </c>
      <c r="H8" s="17" t="inlineStr">
        <is>
          <t>materials</t>
        </is>
      </c>
      <c r="I8" s="17" t="n">
        <v>0</v>
      </c>
      <c r="J8" s="17" t="inlineStr">
        <is>
          <t>conservative</t>
        </is>
      </c>
    </row>
    <row r="9">
      <c r="A9" s="10" t="inlineStr">
        <is>
          <t>MTFS</t>
        </is>
      </c>
      <c r="B9" s="7" t="inlineStr">
        <is>
          <t>NUE/INTU</t>
        </is>
      </c>
      <c r="C9" s="7" t="inlineStr">
        <is>
          <t>INTU</t>
        </is>
      </c>
      <c r="D9" s="7" t="inlineStr">
        <is>
          <t>short</t>
        </is>
      </c>
      <c r="E9" s="24" t="n">
        <v>-82</v>
      </c>
      <c r="F9" s="4" t="n">
        <v>305.51</v>
      </c>
      <c r="G9" s="19" t="n">
        <v>-25051.82</v>
      </c>
      <c r="H9" s="7" t="inlineStr">
        <is>
          <t>tech</t>
        </is>
      </c>
      <c r="I9" s="7" t="n">
        <v>0</v>
      </c>
      <c r="J9" s="7" t="inlineStr">
        <is>
          <t>conservative</t>
        </is>
      </c>
    </row>
    <row r="10">
      <c r="A10" s="12" t="inlineStr">
        <is>
          <t>MTFS</t>
        </is>
      </c>
      <c r="B10" s="17" t="inlineStr">
        <is>
          <t>CSCO/REGN</t>
        </is>
      </c>
      <c r="C10" s="17" t="inlineStr">
        <is>
          <t>CSCO</t>
        </is>
      </c>
      <c r="D10" s="17" t="inlineStr">
        <is>
          <t>long</t>
        </is>
      </c>
      <c r="E10" s="26" t="n">
        <v>912</v>
      </c>
      <c r="F10" s="13" t="n">
        <v>124.15</v>
      </c>
      <c r="G10" s="13" t="n">
        <v>113224.8</v>
      </c>
      <c r="H10" s="17" t="inlineStr">
        <is>
          <t>tech</t>
        </is>
      </c>
      <c r="I10" s="17" t="n">
        <v>0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CSCO/REGN</t>
        </is>
      </c>
      <c r="C11" s="7" t="inlineStr">
        <is>
          <t>REGN</t>
        </is>
      </c>
      <c r="D11" s="7" t="inlineStr">
        <is>
          <t>short</t>
        </is>
      </c>
      <c r="E11" s="24" t="n">
        <v>-89</v>
      </c>
      <c r="F11" s="4" t="n">
        <v>611.34</v>
      </c>
      <c r="G11" s="19" t="n">
        <v>-54409.26</v>
      </c>
      <c r="H11" s="7" t="inlineStr">
        <is>
          <t>health</t>
        </is>
      </c>
      <c r="I11" s="7" t="n">
        <v>0</v>
      </c>
      <c r="J11" s="7" t="inlineStr">
        <is>
          <t>monthly_aligned_windows</t>
        </is>
      </c>
    </row>
    <row r="12">
      <c r="A12" s="12" t="inlineStr">
        <is>
          <t>MTFS</t>
        </is>
      </c>
      <c r="B12" s="17" t="inlineStr">
        <is>
          <t>NUE/MKTX</t>
        </is>
      </c>
      <c r="C12" s="17" t="inlineStr">
        <is>
          <t>NUE</t>
        </is>
      </c>
      <c r="D12" s="17" t="inlineStr">
        <is>
          <t>long</t>
        </is>
      </c>
      <c r="E12" s="26" t="n">
        <v>329</v>
      </c>
      <c r="F12" s="13" t="n">
        <v>253.4</v>
      </c>
      <c r="G12" s="13" t="n">
        <v>83368.60000000001</v>
      </c>
      <c r="H12" s="17" t="inlineStr">
        <is>
          <t>materials</t>
        </is>
      </c>
      <c r="I12" s="17" t="n">
        <v>0</v>
      </c>
      <c r="J12" s="17" t="inlineStr">
        <is>
          <t>weekly_aligned_windows</t>
        </is>
      </c>
    </row>
    <row r="13">
      <c r="A13" s="10" t="inlineStr">
        <is>
          <t>MTFS</t>
        </is>
      </c>
      <c r="B13" s="7" t="inlineStr">
        <is>
          <t>NUE/MKTX</t>
        </is>
      </c>
      <c r="C13" s="7" t="inlineStr">
        <is>
          <t>MKTX</t>
        </is>
      </c>
      <c r="D13" s="7" t="inlineStr">
        <is>
          <t>short</t>
        </is>
      </c>
      <c r="E13" s="24" t="n">
        <v>-422</v>
      </c>
      <c r="F13" s="4" t="n">
        <v>116.17</v>
      </c>
      <c r="G13" s="19" t="n">
        <v>-49023.74</v>
      </c>
      <c r="H13" s="7" t="inlineStr">
        <is>
          <t>tech</t>
        </is>
      </c>
      <c r="I13" s="7" t="n">
        <v>0</v>
      </c>
      <c r="J13" s="7" t="inlineStr">
        <is>
          <t>weekly_aligned_windows</t>
        </is>
      </c>
    </row>
    <row r="14">
      <c r="A14" s="12" t="inlineStr">
        <is>
          <t>MTFS</t>
        </is>
      </c>
      <c r="B14" s="17" t="inlineStr">
        <is>
          <t>BWA/VLTO</t>
        </is>
      </c>
      <c r="C14" s="17" t="inlineStr">
        <is>
          <t>BWA</t>
        </is>
      </c>
      <c r="D14" s="17" t="inlineStr">
        <is>
          <t>long</t>
        </is>
      </c>
      <c r="E14" s="26" t="n">
        <v>2359</v>
      </c>
      <c r="F14" s="15" t="n">
        <v>75.86</v>
      </c>
      <c r="G14" s="13" t="n">
        <v>178953.74</v>
      </c>
      <c r="H14" s="17" t="inlineStr">
        <is>
          <t>industrial</t>
        </is>
      </c>
      <c r="I14" s="17" t="n">
        <v>0</v>
      </c>
      <c r="J14" s="17" t="inlineStr">
        <is>
          <t>kalman_aggressive</t>
        </is>
      </c>
    </row>
    <row r="15">
      <c r="A15" s="10" t="inlineStr">
        <is>
          <t>MTFS</t>
        </is>
      </c>
      <c r="B15" s="7" t="inlineStr">
        <is>
          <t>BWA/VLTO</t>
        </is>
      </c>
      <c r="C15" s="7" t="inlineStr">
        <is>
          <t>VLTO</t>
        </is>
      </c>
      <c r="D15" s="7" t="inlineStr">
        <is>
          <t>short</t>
        </is>
      </c>
      <c r="E15" s="24" t="n">
        <v>-961</v>
      </c>
      <c r="F15" s="11" t="n">
        <v>84.91</v>
      </c>
      <c r="G15" s="19" t="n">
        <v>-81598.50999999999</v>
      </c>
      <c r="H15" s="7" t="inlineStr">
        <is>
          <t>health</t>
        </is>
      </c>
      <c r="I15" s="7" t="n">
        <v>0</v>
      </c>
      <c r="J15" s="7" t="inlineStr">
        <is>
          <t>kalman_aggressive</t>
        </is>
      </c>
    </row>
    <row r="16">
      <c r="A16" s="12" t="inlineStr">
        <is>
          <t>MTFS</t>
        </is>
      </c>
      <c r="B16" s="17" t="inlineStr">
        <is>
          <t>STLD/HII</t>
        </is>
      </c>
      <c r="C16" s="17" t="inlineStr">
        <is>
          <t>STLD</t>
        </is>
      </c>
      <c r="D16" s="17" t="inlineStr">
        <is>
          <t>long</t>
        </is>
      </c>
      <c r="E16" s="26" t="n">
        <v>502</v>
      </c>
      <c r="F16" s="13" t="n">
        <v>267.2</v>
      </c>
      <c r="G16" s="13" t="n">
        <v>134134.4</v>
      </c>
      <c r="H16" s="17" t="inlineStr">
        <is>
          <t>materials</t>
        </is>
      </c>
      <c r="I16" s="17" t="n">
        <v>0</v>
      </c>
      <c r="J16" s="17" t="inlineStr">
        <is>
          <t>weekly_aligned_windows</t>
        </is>
      </c>
    </row>
    <row r="17">
      <c r="A17" s="10" t="inlineStr">
        <is>
          <t>MTFS</t>
        </is>
      </c>
      <c r="B17" s="7" t="inlineStr">
        <is>
          <t>STLD/HII</t>
        </is>
      </c>
      <c r="C17" s="7" t="inlineStr">
        <is>
          <t>HII</t>
        </is>
      </c>
      <c r="D17" s="7" t="inlineStr">
        <is>
          <t>short</t>
        </is>
      </c>
      <c r="E17" s="24" t="n">
        <v>-178</v>
      </c>
      <c r="F17" s="4" t="n">
        <v>292.26</v>
      </c>
      <c r="G17" s="19" t="n">
        <v>-52022.28</v>
      </c>
      <c r="H17" s="7" t="inlineStr">
        <is>
          <t>industrial</t>
        </is>
      </c>
      <c r="I17" s="7" t="n">
        <v>0</v>
      </c>
      <c r="J17" s="7" t="inlineStr">
        <is>
          <t>weekly_aligned_windows</t>
        </is>
      </c>
    </row>
    <row r="18">
      <c r="A18" s="12" t="inlineStr">
        <is>
          <t>MTFS</t>
        </is>
      </c>
      <c r="B18" s="17" t="inlineStr">
        <is>
          <t>STLD/UHS</t>
        </is>
      </c>
      <c r="C18" s="17" t="inlineStr">
        <is>
          <t>STLD</t>
        </is>
      </c>
      <c r="D18" s="17" t="inlineStr">
        <is>
          <t>long</t>
        </is>
      </c>
      <c r="E18" s="26" t="n">
        <v>386</v>
      </c>
      <c r="F18" s="13" t="n">
        <v>267.2</v>
      </c>
      <c r="G18" s="13" t="n">
        <v>103139.2</v>
      </c>
      <c r="H18" s="17" t="inlineStr">
        <is>
          <t>materials</t>
        </is>
      </c>
      <c r="I18" s="17" t="n">
        <v>0</v>
      </c>
      <c r="J18" s="17" t="inlineStr">
        <is>
          <t>no_reversal_protection</t>
        </is>
      </c>
    </row>
    <row r="19">
      <c r="A19" s="10" t="inlineStr">
        <is>
          <t>MTFS</t>
        </is>
      </c>
      <c r="B19" s="7" t="inlineStr">
        <is>
          <t>STLD/UHS</t>
        </is>
      </c>
      <c r="C19" s="7" t="inlineStr">
        <is>
          <t>UHS</t>
        </is>
      </c>
      <c r="D19" s="7" t="inlineStr">
        <is>
          <t>short</t>
        </is>
      </c>
      <c r="E19" s="24" t="n">
        <v>-358</v>
      </c>
      <c r="F19" s="4" t="n">
        <v>142.87</v>
      </c>
      <c r="G19" s="19" t="n">
        <v>-51147.46</v>
      </c>
      <c r="H19" s="7" t="inlineStr">
        <is>
          <t>health</t>
        </is>
      </c>
      <c r="I19" s="7" t="n">
        <v>0</v>
      </c>
      <c r="J19" s="7" t="inlineStr">
        <is>
          <t>no_reversal_protection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AON/BR</t>
        </is>
      </c>
      <c r="C4" s="18" t="n">
        <v>-496.64</v>
      </c>
      <c r="D4" s="13" t="n">
        <v>139268.14</v>
      </c>
      <c r="E4" s="17" t="n">
        <v>0</v>
      </c>
      <c r="F4" s="17" t="inlineStr">
        <is>
          <t>static_threshold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KLAC/REGN</t>
        </is>
      </c>
      <c r="C5" s="19" t="n">
        <v>-120103.69</v>
      </c>
      <c r="D5" s="4" t="n">
        <v>28184.82</v>
      </c>
      <c r="E5" s="7" t="n">
        <v>0</v>
      </c>
      <c r="F5" s="7" t="inlineStr">
        <is>
          <t>beta_neutral_long_term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NUE/INTU</t>
        </is>
      </c>
      <c r="C6" s="13" t="n">
        <v>3252.24</v>
      </c>
      <c r="D6" s="13" t="n">
        <v>108420.42</v>
      </c>
      <c r="E6" s="17" t="n">
        <v>0</v>
      </c>
      <c r="F6" s="17" t="inlineStr">
        <is>
          <t>conservative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CSCO/REGN</t>
        </is>
      </c>
      <c r="C7" s="4" t="n">
        <v>3707.92</v>
      </c>
      <c r="D7" s="4" t="n">
        <v>167634.06</v>
      </c>
      <c r="E7" s="7" t="n">
        <v>0</v>
      </c>
      <c r="F7" s="7" t="inlineStr">
        <is>
          <t>monthly_aligned_windows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NUE/MKTX</t>
        </is>
      </c>
      <c r="C8" s="13" t="n">
        <v>6971.74</v>
      </c>
      <c r="D8" s="13" t="n">
        <v>132392.34</v>
      </c>
      <c r="E8" s="17" t="n">
        <v>0</v>
      </c>
      <c r="F8" s="17" t="inlineStr">
        <is>
          <t>weekly_aligned_windows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BWA/VLTO</t>
        </is>
      </c>
      <c r="C9" s="4" t="n">
        <v>7355.91</v>
      </c>
      <c r="D9" s="4" t="n">
        <v>260552.25</v>
      </c>
      <c r="E9" s="7" t="n">
        <v>0</v>
      </c>
      <c r="F9" s="7" t="inlineStr">
        <is>
          <t>kalman_aggressive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STLD/HII</t>
        </is>
      </c>
      <c r="C10" s="13" t="n">
        <v>6371.08</v>
      </c>
      <c r="D10" s="13" t="n">
        <v>186156.68</v>
      </c>
      <c r="E10" s="17" t="n">
        <v>0</v>
      </c>
      <c r="F10" s="17" t="inlineStr">
        <is>
          <t>weekly_aligned_windows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STLD/UHS</t>
        </is>
      </c>
      <c r="C11" s="4" t="n">
        <v>250</v>
      </c>
      <c r="D11" s="4" t="n">
        <v>154286.66</v>
      </c>
      <c r="E11" s="7" t="n">
        <v>0</v>
      </c>
      <c r="F11" s="7" t="inlineStr">
        <is>
          <t>no_reversal_protection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2026-06-08</t>
        </is>
      </c>
      <c r="C4" s="7" t="inlineStr">
        <is>
          <t>2026-06-08</t>
        </is>
      </c>
    </row>
    <row r="5">
      <c r="A5" s="12" t="inlineStr">
        <is>
          <t>T_1D</t>
        </is>
      </c>
      <c r="B5" s="17" t="inlineStr">
        <is>
          <t>2026-06-05</t>
        </is>
      </c>
      <c r="C5" s="17" t="inlineStr">
        <is>
          <t>2026-06-05</t>
        </is>
      </c>
    </row>
    <row r="6">
      <c r="A6" s="10" t="inlineStr">
        <is>
          <t>T_1W</t>
        </is>
      </c>
      <c r="B6" s="7" t="inlineStr">
        <is>
          <t>2026-06-01</t>
        </is>
      </c>
      <c r="C6" s="7" t="inlineStr">
        <is>
          <t>2026-06-01</t>
        </is>
      </c>
    </row>
    <row r="7">
      <c r="A7" s="12" t="inlineStr">
        <is>
          <t>T_1M</t>
        </is>
      </c>
      <c r="B7" s="17" t="inlineStr">
        <is>
          <t>2026-05-08</t>
        </is>
      </c>
      <c r="C7" s="17" t="inlineStr">
        <is>
          <t>2026-05-08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15.1</v>
      </c>
      <c r="C6" s="7" t="n">
        <v>0.34</v>
      </c>
      <c r="D6" s="7" t="n">
        <v>25</v>
      </c>
      <c r="E6" s="22" t="n">
        <v>-14.76</v>
      </c>
    </row>
    <row r="7">
      <c r="A7" s="12" t="inlineStr">
        <is>
          <t>MTFS</t>
        </is>
      </c>
      <c r="B7" s="17" t="n">
        <v>13.15</v>
      </c>
      <c r="C7" s="17" t="n">
        <v>23.56</v>
      </c>
      <c r="D7" s="17" t="n">
        <v>25</v>
      </c>
      <c r="E7" s="20" t="n">
        <v>10.41</v>
      </c>
    </row>
    <row r="8">
      <c r="A8" s="10" t="inlineStr">
        <is>
          <t>SSRS</t>
        </is>
      </c>
      <c r="B8" s="7" t="n">
        <v>25.43</v>
      </c>
      <c r="C8" s="7" t="n">
        <v>3.66</v>
      </c>
      <c r="D8" s="7" t="n">
        <v>25</v>
      </c>
      <c r="E8" s="22" t="n">
        <v>-21.77</v>
      </c>
    </row>
    <row r="9">
      <c r="A9" s="12" t="inlineStr">
        <is>
          <t>AISS</t>
        </is>
      </c>
      <c r="B9" s="17" t="n">
        <v>46.32</v>
      </c>
      <c r="C9" s="17" t="n">
        <v>72.44</v>
      </c>
      <c r="D9" s="17" t="n">
        <v>25</v>
      </c>
      <c r="E9" s="20" t="n">
        <v>26.12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STLD/HII</t>
        </is>
      </c>
      <c r="B13" s="7" t="n">
        <v>23.91</v>
      </c>
    </row>
    <row r="14">
      <c r="A14" s="12" t="inlineStr">
        <is>
          <t>STLD/UHS</t>
        </is>
      </c>
      <c r="B14" s="17" t="n">
        <v>20.33</v>
      </c>
    </row>
    <row r="15">
      <c r="A15" s="10" t="inlineStr">
        <is>
          <t>BWA/VLTO</t>
        </is>
      </c>
      <c r="B15" s="7" t="n">
        <v>14.42</v>
      </c>
    </row>
    <row r="16">
      <c r="A16" s="12" t="inlineStr">
        <is>
          <t>CSCO/REGN</t>
        </is>
      </c>
      <c r="B16" s="17" t="n">
        <v>13.41</v>
      </c>
    </row>
    <row r="17">
      <c r="A17" s="10" t="inlineStr">
        <is>
          <t>NUE/MKTX</t>
        </is>
      </c>
      <c r="B17" s="7" t="n">
        <v>13.34</v>
      </c>
    </row>
    <row r="18">
      <c r="A18" s="12" t="inlineStr">
        <is>
          <t>NUE/INTU</t>
        </is>
      </c>
      <c r="B18" s="17" t="n">
        <v>11.4</v>
      </c>
    </row>
    <row r="19">
      <c r="A19" s="10" t="inlineStr">
        <is>
          <t>KLAC/REGN</t>
        </is>
      </c>
      <c r="B19" s="7" t="n">
        <v>2.18</v>
      </c>
    </row>
    <row r="20">
      <c r="A20" s="12" t="inlineStr">
        <is>
          <t>AON/BR</t>
        </is>
      </c>
      <c r="B20" s="17" t="n">
        <v>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1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1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0.164</v>
      </c>
      <c r="C4" s="7" t="n">
        <v>25.131</v>
      </c>
      <c r="D4" s="7" t="n">
        <v>0</v>
      </c>
      <c r="E4" s="7" t="b">
        <v>1</v>
      </c>
      <c r="F4" s="7" t="n">
        <v>2.242</v>
      </c>
      <c r="G4" s="7" t="n">
        <v>2.242</v>
      </c>
      <c r="H4" s="7" t="n">
        <v>0</v>
      </c>
    </row>
    <row r="5">
      <c r="A5" s="12" t="inlineStr">
        <is>
          <t>MRPT</t>
        </is>
      </c>
      <c r="B5" s="17" t="n">
        <v>-0.424</v>
      </c>
      <c r="C5" s="17" t="n">
        <v>2.446</v>
      </c>
      <c r="D5" s="17" t="n">
        <v>0</v>
      </c>
      <c r="E5" s="17" t="b">
        <v>1</v>
      </c>
      <c r="F5" s="17" t="n">
        <v>1.605</v>
      </c>
      <c r="G5" s="17" t="n">
        <v>1.675</v>
      </c>
      <c r="H5" s="17" t="n">
        <v>0.07000000000000001</v>
      </c>
    </row>
    <row r="6">
      <c r="A6" s="10" t="inlineStr">
        <is>
          <t>MTFS</t>
        </is>
      </c>
      <c r="B6" s="7" t="n">
        <v>1.613</v>
      </c>
      <c r="C6" s="7" t="n">
        <v>29.592</v>
      </c>
      <c r="D6" s="7" t="n">
        <v>0</v>
      </c>
      <c r="E6" s="7" t="b">
        <v>1</v>
      </c>
      <c r="F6" s="7" t="n">
        <v>4.82</v>
      </c>
      <c r="G6" s="7" t="n">
        <v>4.82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1.185</v>
      </c>
      <c r="C9" s="7" t="n">
        <v>0.8149999999999999</v>
      </c>
      <c r="D9" s="7" t="n">
        <v>499</v>
      </c>
      <c r="E9" s="7" t="n">
        <v>8.859999999999999</v>
      </c>
      <c r="F9" s="7" t="n">
        <v>9.470000000000001</v>
      </c>
      <c r="G9" s="7" t="n">
        <v>76</v>
      </c>
      <c r="H9" s="7" t="n">
        <v>4.25</v>
      </c>
      <c r="I9" s="7" t="n">
        <v>2.13</v>
      </c>
      <c r="J9" s="7" t="n">
        <v>1.106</v>
      </c>
    </row>
    <row r="10">
      <c r="A10" s="12" t="inlineStr">
        <is>
          <t>MRPT</t>
        </is>
      </c>
      <c r="B10" s="17" t="n">
        <v>1.225</v>
      </c>
      <c r="C10" s="17" t="n">
        <v>0.8215</v>
      </c>
      <c r="D10" s="17" t="n">
        <v>473</v>
      </c>
      <c r="E10" s="17" t="n">
        <v>8.880000000000001</v>
      </c>
      <c r="F10" s="17" t="n">
        <v>9.550000000000001</v>
      </c>
      <c r="G10" s="17" t="n">
        <v>76.7</v>
      </c>
      <c r="H10" s="17" t="n">
        <v>5.65</v>
      </c>
      <c r="I10" s="17" t="n">
        <v>2.82</v>
      </c>
      <c r="J10" s="17" t="n">
        <v>0.245</v>
      </c>
    </row>
    <row r="11">
      <c r="A11" s="10" t="inlineStr">
        <is>
          <t>MTFS</t>
        </is>
      </c>
      <c r="B11" s="7" t="n">
        <v>0.88</v>
      </c>
      <c r="C11" s="7" t="n">
        <v>0.7573</v>
      </c>
      <c r="D11" s="7" t="n">
        <v>824</v>
      </c>
      <c r="E11" s="7" t="n">
        <v>15.56</v>
      </c>
      <c r="F11" s="7" t="n">
        <v>18.48</v>
      </c>
      <c r="G11" s="7" t="n">
        <v>79.3</v>
      </c>
      <c r="H11" s="7" t="n">
        <v>1.61</v>
      </c>
      <c r="I11" s="7" t="n">
        <v>0.8100000000000001</v>
      </c>
      <c r="J11" s="7" t="n">
        <v>2.095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2026-06-25T05:46:15Z</dcterms:created>
  <dcterms:modified xmlns:dcterms="http://purl.org/dc/terms/" xmlns:xsi="http://www.w3.org/2001/XMLSchema-instance" xsi:type="dcterms:W3CDTF">2026-06-25T05:46:15Z</dcterms:modified>
</cp:coreProperties>
</file>