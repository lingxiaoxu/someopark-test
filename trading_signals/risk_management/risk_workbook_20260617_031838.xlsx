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4" fontId="8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Trend'!$A$4:$A$159</f>
            </numRef>
          </cat>
          <val>
            <numRef>
              <f>'NAV Trend'!$B$4:$B$159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2026-06-16  ·  Generated 2026-06-24T18:51:34  ·  Scope: MRPT+MTFS pairs book (model-based, broker-reconciled)</t>
        </is>
      </c>
    </row>
    <row r="4">
      <c r="A4" s="3" t="inlineStr">
        <is>
          <t>NAV (equity)</t>
        </is>
      </c>
      <c r="B4" s="4" t="n">
        <v>1121042.13</v>
      </c>
    </row>
    <row r="5">
      <c r="A5" s="3" t="inlineStr">
        <is>
          <t>Gross leverage (x)</t>
        </is>
      </c>
      <c r="B5" s="5" t="n">
        <v>0.806</v>
      </c>
    </row>
    <row r="6">
      <c r="A6" s="3" t="inlineStr">
        <is>
          <t>Net leverage (x)</t>
        </is>
      </c>
      <c r="B6" s="5" t="n">
        <v>0.269</v>
      </c>
    </row>
    <row r="7">
      <c r="A7" s="3" t="inlineStr">
        <is>
          <t>Net market beta (target≈0)</t>
        </is>
      </c>
      <c r="B7" s="5" t="n">
        <v>0.6870000000000001</v>
      </c>
    </row>
    <row r="8">
      <c r="A8" s="3" t="inlineStr">
        <is>
          <t>VaR 95% 1-day ($)</t>
        </is>
      </c>
      <c r="B8" s="4" t="n">
        <v>17707.7</v>
      </c>
    </row>
    <row r="9">
      <c r="A9" s="3" t="inlineStr">
        <is>
          <t>VaR 95% 1-day (% NAV)</t>
        </is>
      </c>
      <c r="B9" s="6" t="n">
        <v>1.58</v>
      </c>
    </row>
    <row r="10">
      <c r="A10" s="3" t="inlineStr">
        <is>
          <t>Annual vol (% NAV)</t>
        </is>
      </c>
      <c r="B10" s="6" t="n">
        <v>15.24</v>
      </c>
    </row>
    <row r="11">
      <c r="A11" s="3" t="inlineStr">
        <is>
          <t>Sharpe (annual)</t>
        </is>
      </c>
      <c r="B11" s="6" t="n">
        <v>1.42</v>
      </c>
    </row>
    <row r="12">
      <c r="A12" s="3" t="inlineStr">
        <is>
          <t>PSR( SR&gt;0 )</t>
        </is>
      </c>
      <c r="B12" s="5" t="n">
        <v>0.8699</v>
      </c>
    </row>
    <row r="13">
      <c r="A13" s="3" t="inlineStr">
        <is>
          <t>CDaR 95% (%)</t>
        </is>
      </c>
      <c r="B13" s="6" t="n">
        <v>8.859999999999999</v>
      </c>
    </row>
    <row r="14">
      <c r="A14" s="3" t="inlineStr">
        <is>
          <t>Kelly full / half (x)</t>
        </is>
      </c>
      <c r="B14" s="7" t="inlineStr">
        <is>
          <t>4.96 / 2.48</t>
        </is>
      </c>
    </row>
    <row r="15">
      <c r="A15" s="3" t="inlineStr">
        <is>
          <t>Actual gross leverage (x)</t>
        </is>
      </c>
      <c r="B15" s="5" t="n">
        <v>0.806</v>
      </c>
    </row>
    <row r="16">
      <c r="A16" s="3" t="inlineStr">
        <is>
          <t>Max single-name</t>
        </is>
      </c>
      <c r="B16" s="7" t="inlineStr">
        <is>
          <t>KLAC (24.13% NAV)</t>
        </is>
      </c>
    </row>
    <row r="17">
      <c r="A17" s="3" t="inlineStr">
        <is>
          <t>Max sector net (% gross)</t>
        </is>
      </c>
      <c r="B17" s="6" t="n">
        <v>24.1</v>
      </c>
    </row>
    <row r="18">
      <c r="A18" s="3" t="inlineStr">
        <is>
          <t>Open pairs</t>
        </is>
      </c>
      <c r="B18" s="6" t="n">
        <v>6</v>
      </c>
    </row>
    <row r="19">
      <c r="A19" s="3" t="inlineStr">
        <is>
          <t>Limit breaches</t>
        </is>
      </c>
      <c r="B19" s="6" t="n">
        <v>3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511983.08</v>
      </c>
      <c r="C5" s="4" t="n">
        <v>106099.17</v>
      </c>
      <c r="D5" s="4" t="n">
        <v>35966.64</v>
      </c>
      <c r="E5" s="4" t="n">
        <v>401161.07</v>
      </c>
    </row>
    <row r="6">
      <c r="A6" s="11" t="inlineStr">
        <is>
          <t>Restricted Cash 受限现金 (PB 102%)</t>
        </is>
      </c>
      <c r="B6" s="12" t="n">
        <v>307055.22</v>
      </c>
      <c r="C6" s="12" t="n">
        <v>427073.59</v>
      </c>
      <c r="D6" s="12" t="n">
        <v>500708.01</v>
      </c>
      <c r="E6" s="12" t="n">
        <v>532211.03</v>
      </c>
    </row>
    <row r="7">
      <c r="A7" s="10" t="inlineStr">
        <is>
          <t>Long Securities 多头证券</t>
        </is>
      </c>
      <c r="B7" s="4" t="n">
        <v>603038.36</v>
      </c>
      <c r="C7" s="4" t="n">
        <v>1035231.57</v>
      </c>
      <c r="D7" s="4" t="n">
        <v>1009904.95</v>
      </c>
      <c r="E7" s="4" t="n">
        <v>600178.34</v>
      </c>
    </row>
    <row r="8">
      <c r="A8" s="13" t="inlineStr">
        <is>
          <t>Total Assets 总资产</t>
        </is>
      </c>
      <c r="B8" s="12" t="n">
        <v>1422076.66</v>
      </c>
      <c r="C8" s="12" t="n">
        <v>1568404.33</v>
      </c>
      <c r="D8" s="12" t="n">
        <v>1546579.6</v>
      </c>
      <c r="E8" s="12" t="n">
        <v>1533550.44</v>
      </c>
    </row>
    <row r="9">
      <c r="A9" s="10" t="inlineStr">
        <is>
          <t>Short Securities 空头证券 (义务)</t>
        </is>
      </c>
      <c r="B9" s="4" t="n">
        <v>301034.53</v>
      </c>
      <c r="C9" s="4" t="n">
        <v>418699.6</v>
      </c>
      <c r="D9" s="4" t="n">
        <v>490890.21</v>
      </c>
      <c r="E9" s="4" t="n">
        <v>521775.52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301034.53</v>
      </c>
      <c r="C11" s="4" t="n">
        <v>418699.6</v>
      </c>
      <c r="D11" s="4" t="n">
        <v>490890.21</v>
      </c>
      <c r="E11" s="4" t="n">
        <v>521775.52</v>
      </c>
    </row>
    <row r="12">
      <c r="A12" s="13" t="inlineStr">
        <is>
          <t>NAV (Equity) 净值 = TA - TL</t>
        </is>
      </c>
      <c r="B12" s="12" t="n">
        <v>1121042.13</v>
      </c>
      <c r="C12" s="12" t="n">
        <v>1149704.73</v>
      </c>
      <c r="D12" s="12" t="n">
        <v>1055689.39</v>
      </c>
      <c r="E12" s="12" t="n">
        <v>1011774.92</v>
      </c>
    </row>
    <row r="13">
      <c r="A13" s="10" t="inlineStr">
        <is>
          <t>Gross Leverage 总杠杆 (x)</t>
        </is>
      </c>
      <c r="B13" s="7" t="n">
        <v>0.806</v>
      </c>
      <c r="C13" s="7" t="n">
        <v>1.265</v>
      </c>
      <c r="D13" s="7" t="n">
        <v>1.422</v>
      </c>
      <c r="E13" s="7" t="n">
        <v>1.109</v>
      </c>
    </row>
    <row r="14">
      <c r="A14" s="11" t="inlineStr">
        <is>
          <t>Net Leverage 净杠杆 (x)</t>
        </is>
      </c>
      <c r="B14" s="16" t="n">
        <v>0.269</v>
      </c>
      <c r="C14" s="16" t="n">
        <v>0.536</v>
      </c>
      <c r="D14" s="16" t="n">
        <v>0.492</v>
      </c>
      <c r="E14" s="16" t="n">
        <v>0.077</v>
      </c>
    </row>
    <row r="15">
      <c r="A15" s="10" t="inlineStr">
        <is>
          <t>PM Requirement (20%)</t>
        </is>
      </c>
      <c r="B15" s="4" t="n">
        <v>180814.58</v>
      </c>
      <c r="C15" s="4" t="n">
        <v>290786.23</v>
      </c>
      <c r="D15" s="4" t="n">
        <v>300159.03</v>
      </c>
      <c r="E15" s="4" t="n">
        <v>224390.77</v>
      </c>
    </row>
    <row r="16">
      <c r="A16" s="11" t="inlineStr">
        <is>
          <t>Excess Liquidity 超额流动性</t>
        </is>
      </c>
      <c r="B16" s="12" t="n">
        <v>940227.55</v>
      </c>
      <c r="C16" s="12" t="n">
        <v>858918.5</v>
      </c>
      <c r="D16" s="12" t="n">
        <v>755530.36</v>
      </c>
      <c r="E16" s="12" t="n">
        <v>787384.15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603038.36</v>
      </c>
      <c r="C21" s="4" t="n">
        <v>1035231.57</v>
      </c>
      <c r="D21" s="4" t="n">
        <v>1009904.95</v>
      </c>
      <c r="E21" s="4" t="n">
        <v>600178.34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603038.36</v>
      </c>
      <c r="C23" s="4" t="n">
        <v>1035231.57</v>
      </c>
      <c r="D23" s="4" t="n">
        <v>1009904.95</v>
      </c>
      <c r="E23" s="4" t="n">
        <v>600178.34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603038.36</v>
      </c>
      <c r="C25" s="4" t="n">
        <v>1035231.57</v>
      </c>
      <c r="D25" s="4" t="n">
        <v>1009904.95</v>
      </c>
      <c r="E25" s="4" t="n">
        <v>600178.34</v>
      </c>
    </row>
    <row r="26">
      <c r="A26" s="11" t="inlineStr">
        <is>
          <t>Short Book — Allocated Capital 分配资本</t>
        </is>
      </c>
      <c r="B26" s="12" t="n">
        <v>6020.69</v>
      </c>
      <c r="C26" s="12" t="n">
        <v>8373.99</v>
      </c>
      <c r="D26" s="12" t="n">
        <v>9817.799999999999</v>
      </c>
      <c r="E26" s="12" t="n">
        <v>10435.51</v>
      </c>
    </row>
    <row r="27">
      <c r="A27" s="10" t="inlineStr">
        <is>
          <t>Short Book — Collateral 担保金</t>
        </is>
      </c>
      <c r="B27" s="4" t="n">
        <v>6020.69</v>
      </c>
      <c r="C27" s="4" t="n">
        <v>8373.99</v>
      </c>
      <c r="D27" s="4" t="n">
        <v>9817.799999999999</v>
      </c>
      <c r="E27" s="4" t="n">
        <v>10435.51</v>
      </c>
    </row>
    <row r="28">
      <c r="A28" s="11" t="inlineStr">
        <is>
          <t>Short Book — Short Proceeds 做空收入</t>
        </is>
      </c>
      <c r="B28" s="12" t="n">
        <v>301034.53</v>
      </c>
      <c r="C28" s="12" t="n">
        <v>418699.6</v>
      </c>
      <c r="D28" s="12" t="n">
        <v>490890.21</v>
      </c>
      <c r="E28" s="12" t="n">
        <v>521775.52</v>
      </c>
    </row>
    <row r="29">
      <c r="A29" s="10" t="inlineStr">
        <is>
          <t>Short Book — Market Value 市值(负债)</t>
        </is>
      </c>
      <c r="B29" s="4" t="n">
        <v>301034.53</v>
      </c>
      <c r="C29" s="4" t="n">
        <v>418699.6</v>
      </c>
      <c r="D29" s="4" t="n">
        <v>490890.21</v>
      </c>
      <c r="E29" s="4" t="n">
        <v>521775.52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6020.69</v>
      </c>
      <c r="C31" s="4" t="n">
        <v>8373.99</v>
      </c>
      <c r="D31" s="4" t="n">
        <v>9817.799999999999</v>
      </c>
      <c r="E31" s="4" t="n">
        <v>10435.51</v>
      </c>
    </row>
    <row r="32">
      <c r="A32" s="11" t="inlineStr">
        <is>
          <t>Unallocated Cash 未分配现金</t>
        </is>
      </c>
      <c r="B32" s="12" t="n">
        <v>511983.08</v>
      </c>
      <c r="C32" s="12" t="n">
        <v>106099.17</v>
      </c>
      <c r="D32" s="12" t="n">
        <v>35966.64</v>
      </c>
      <c r="E32" s="12" t="n">
        <v>401161.07</v>
      </c>
    </row>
    <row r="33">
      <c r="A33" s="15" t="inlineStr">
        <is>
          <t>Dual-View NAV 双账户法NAV</t>
        </is>
      </c>
      <c r="B33" s="4" t="n">
        <v>1121042.13</v>
      </c>
      <c r="C33" s="4" t="n">
        <v>1149704.73</v>
      </c>
      <c r="D33" s="4" t="n">
        <v>1055689.39</v>
      </c>
      <c r="E33" s="4" t="n">
        <v>1011774.92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483746.14</v>
      </c>
      <c r="C39" s="4" t="n">
        <v>566922.75</v>
      </c>
      <c r="D39" s="4" t="n">
        <v>468937.27</v>
      </c>
      <c r="E39" s="4" t="n">
        <v>319230.74</v>
      </c>
    </row>
    <row r="40">
      <c r="A40" s="11" t="inlineStr">
        <is>
          <t>Restricted Cash 受限现金 (PB 102%)</t>
        </is>
      </c>
      <c r="B40" s="12" t="n">
        <v>86958.71000000001</v>
      </c>
      <c r="C40" s="14" t="n">
        <v>0</v>
      </c>
      <c r="D40" s="12" t="n">
        <v>99198.59</v>
      </c>
      <c r="E40" s="12" t="n">
        <v>192958.99</v>
      </c>
    </row>
    <row r="41">
      <c r="A41" s="10" t="inlineStr">
        <is>
          <t>Long Securities 多头证券</t>
        </is>
      </c>
      <c r="B41" s="4" t="n">
        <v>85418.60000000001</v>
      </c>
      <c r="C41" s="17" t="n">
        <v>0</v>
      </c>
      <c r="D41" s="4" t="n">
        <v>96238.08</v>
      </c>
      <c r="E41" s="4" t="n">
        <v>261745.76</v>
      </c>
    </row>
    <row r="42">
      <c r="A42" s="13" t="inlineStr">
        <is>
          <t>Total Assets 总资产</t>
        </is>
      </c>
      <c r="B42" s="12" t="n">
        <v>656123.45</v>
      </c>
      <c r="C42" s="12" t="n">
        <v>566922.75</v>
      </c>
      <c r="D42" s="12" t="n">
        <v>664373.9399999999</v>
      </c>
      <c r="E42" s="12" t="n">
        <v>773935.49</v>
      </c>
    </row>
    <row r="43">
      <c r="A43" s="10" t="inlineStr">
        <is>
          <t>Short Securities 空头证券 (义务)</t>
        </is>
      </c>
      <c r="B43" s="4" t="n">
        <v>85253.64</v>
      </c>
      <c r="C43" s="17" t="n">
        <v>0</v>
      </c>
      <c r="D43" s="4" t="n">
        <v>97253.52</v>
      </c>
      <c r="E43" s="4" t="n">
        <v>189175.48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85253.64</v>
      </c>
      <c r="C45" s="17" t="n">
        <v>0</v>
      </c>
      <c r="D45" s="4" t="n">
        <v>97253.52</v>
      </c>
      <c r="E45" s="4" t="n">
        <v>189175.48</v>
      </c>
    </row>
    <row r="46">
      <c r="A46" s="13" t="inlineStr">
        <is>
          <t>NAV (Equity) 净值 = TA - TL</t>
        </is>
      </c>
      <c r="B46" s="12" t="n">
        <v>570869.8100000001</v>
      </c>
      <c r="C46" s="12" t="n">
        <v>566922.75</v>
      </c>
      <c r="D46" s="12" t="n">
        <v>567120.42</v>
      </c>
      <c r="E46" s="12" t="n">
        <v>584760.01</v>
      </c>
    </row>
    <row r="47">
      <c r="A47" s="10" t="inlineStr">
        <is>
          <t>Gross Leverage 总杠杆 (x)</t>
        </is>
      </c>
      <c r="B47" s="7" t="n">
        <v>0.299</v>
      </c>
      <c r="C47" s="7" t="n">
        <v>0</v>
      </c>
      <c r="D47" s="7" t="n">
        <v>0.341</v>
      </c>
      <c r="E47" s="7" t="n">
        <v>0.771</v>
      </c>
    </row>
    <row r="48">
      <c r="A48" s="11" t="inlineStr">
        <is>
          <t>Net Leverage 净杠杆 (x)</t>
        </is>
      </c>
      <c r="B48" s="16" t="n">
        <v>0</v>
      </c>
      <c r="C48" s="16" t="n">
        <v>0</v>
      </c>
      <c r="D48" s="16" t="n">
        <v>-0.002</v>
      </c>
      <c r="E48" s="16" t="n">
        <v>0.124</v>
      </c>
    </row>
    <row r="49">
      <c r="A49" s="10" t="inlineStr">
        <is>
          <t>PM Requirement (20%)</t>
        </is>
      </c>
      <c r="B49" s="4" t="n">
        <v>34134.45</v>
      </c>
      <c r="C49" s="17" t="n">
        <v>0</v>
      </c>
      <c r="D49" s="4" t="n">
        <v>38698.32</v>
      </c>
      <c r="E49" s="4" t="n">
        <v>90184.25</v>
      </c>
    </row>
    <row r="50">
      <c r="A50" s="11" t="inlineStr">
        <is>
          <t>Excess Liquidity 超额流动性</t>
        </is>
      </c>
      <c r="B50" s="12" t="n">
        <v>536735.36</v>
      </c>
      <c r="C50" s="12" t="n">
        <v>566922.75</v>
      </c>
      <c r="D50" s="12" t="n">
        <v>528422.1</v>
      </c>
      <c r="E50" s="12" t="n">
        <v>494575.76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85418.60000000001</v>
      </c>
      <c r="C55" s="17" t="n">
        <v>0</v>
      </c>
      <c r="D55" s="4" t="n">
        <v>96238.08</v>
      </c>
      <c r="E55" s="4" t="n">
        <v>261745.76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85418.60000000001</v>
      </c>
      <c r="C57" s="17" t="n">
        <v>0</v>
      </c>
      <c r="D57" s="4" t="n">
        <v>96238.08</v>
      </c>
      <c r="E57" s="4" t="n">
        <v>261745.76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85418.60000000001</v>
      </c>
      <c r="C59" s="17" t="n">
        <v>0</v>
      </c>
      <c r="D59" s="4" t="n">
        <v>96238.08</v>
      </c>
      <c r="E59" s="4" t="n">
        <v>261745.76</v>
      </c>
    </row>
    <row r="60">
      <c r="A60" s="11" t="inlineStr">
        <is>
          <t>Short Book — Allocated Capital 分配资本</t>
        </is>
      </c>
      <c r="B60" s="12" t="n">
        <v>1705.07</v>
      </c>
      <c r="C60" s="14" t="n">
        <v>0</v>
      </c>
      <c r="D60" s="12" t="n">
        <v>1945.07</v>
      </c>
      <c r="E60" s="12" t="n">
        <v>3783.51</v>
      </c>
    </row>
    <row r="61">
      <c r="A61" s="10" t="inlineStr">
        <is>
          <t>Short Book — Collateral 担保金</t>
        </is>
      </c>
      <c r="B61" s="4" t="n">
        <v>1705.07</v>
      </c>
      <c r="C61" s="17" t="n">
        <v>0</v>
      </c>
      <c r="D61" s="4" t="n">
        <v>1945.07</v>
      </c>
      <c r="E61" s="4" t="n">
        <v>3783.51</v>
      </c>
    </row>
    <row r="62">
      <c r="A62" s="11" t="inlineStr">
        <is>
          <t>Short Book — Short Proceeds 做空收入</t>
        </is>
      </c>
      <c r="B62" s="12" t="n">
        <v>85253.64</v>
      </c>
      <c r="C62" s="14" t="n">
        <v>0</v>
      </c>
      <c r="D62" s="12" t="n">
        <v>97253.52</v>
      </c>
      <c r="E62" s="12" t="n">
        <v>189175.48</v>
      </c>
    </row>
    <row r="63">
      <c r="A63" s="10" t="inlineStr">
        <is>
          <t>Short Book — Market Value 市值(负债)</t>
        </is>
      </c>
      <c r="B63" s="4" t="n">
        <v>85253.64</v>
      </c>
      <c r="C63" s="17" t="n">
        <v>0</v>
      </c>
      <c r="D63" s="4" t="n">
        <v>97253.52</v>
      </c>
      <c r="E63" s="4" t="n">
        <v>189175.48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1705.07</v>
      </c>
      <c r="C65" s="17" t="n">
        <v>0</v>
      </c>
      <c r="D65" s="4" t="n">
        <v>1945.07</v>
      </c>
      <c r="E65" s="4" t="n">
        <v>3783.51</v>
      </c>
    </row>
    <row r="66">
      <c r="A66" s="11" t="inlineStr">
        <is>
          <t>Unallocated Cash 未分配现金</t>
        </is>
      </c>
      <c r="B66" s="12" t="n">
        <v>483746.14</v>
      </c>
      <c r="C66" s="12" t="n">
        <v>566922.75</v>
      </c>
      <c r="D66" s="12" t="n">
        <v>468937.27</v>
      </c>
      <c r="E66" s="12" t="n">
        <v>319230.74</v>
      </c>
    </row>
    <row r="67">
      <c r="A67" s="15" t="inlineStr">
        <is>
          <t>Dual-View NAV 双账户法NAV</t>
        </is>
      </c>
      <c r="B67" s="4" t="n">
        <v>570869.8100000001</v>
      </c>
      <c r="C67" s="4" t="n">
        <v>566922.75</v>
      </c>
      <c r="D67" s="4" t="n">
        <v>567120.42</v>
      </c>
      <c r="E67" s="4" t="n">
        <v>584760.01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28236.94</v>
      </c>
      <c r="C73" s="17" t="n">
        <v>0</v>
      </c>
      <c r="D73" s="17" t="n">
        <v>0</v>
      </c>
      <c r="E73" s="4" t="n">
        <v>81930.33</v>
      </c>
    </row>
    <row r="74">
      <c r="A74" s="11" t="inlineStr">
        <is>
          <t>Restricted Cash 受限现金 (PB 102%)</t>
        </is>
      </c>
      <c r="B74" s="12" t="n">
        <v>220096.51</v>
      </c>
      <c r="C74" s="12" t="n">
        <v>427073.59</v>
      </c>
      <c r="D74" s="12" t="n">
        <v>401509.42</v>
      </c>
      <c r="E74" s="12" t="n">
        <v>339252.04</v>
      </c>
    </row>
    <row r="75">
      <c r="A75" s="10" t="inlineStr">
        <is>
          <t>Long Securities 多头证券</t>
        </is>
      </c>
      <c r="B75" s="4" t="n">
        <v>517619.76</v>
      </c>
      <c r="C75" s="4" t="n">
        <v>1035231.57</v>
      </c>
      <c r="D75" s="4" t="n">
        <v>913666.87</v>
      </c>
      <c r="E75" s="4" t="n">
        <v>338432.58</v>
      </c>
    </row>
    <row r="76">
      <c r="A76" s="13" t="inlineStr">
        <is>
          <t>Total Assets 总资产</t>
        </is>
      </c>
      <c r="B76" s="12" t="n">
        <v>765953.21</v>
      </c>
      <c r="C76" s="12" t="n">
        <v>1462305.16</v>
      </c>
      <c r="D76" s="12" t="n">
        <v>1315176.29</v>
      </c>
      <c r="E76" s="12" t="n">
        <v>759614.95</v>
      </c>
    </row>
    <row r="77">
      <c r="A77" s="10" t="inlineStr">
        <is>
          <t>Short Securities 空头证券 (义务)</t>
        </is>
      </c>
      <c r="B77" s="4" t="n">
        <v>215780.89</v>
      </c>
      <c r="C77" s="4" t="n">
        <v>418699.6</v>
      </c>
      <c r="D77" s="4" t="n">
        <v>393636.69</v>
      </c>
      <c r="E77" s="4" t="n">
        <v>332600.04</v>
      </c>
    </row>
    <row r="78">
      <c r="A78" s="11" t="inlineStr">
        <is>
          <t>Margin Loan 保证金借款</t>
        </is>
      </c>
      <c r="B78" s="14" t="n">
        <v>0</v>
      </c>
      <c r="C78" s="12" t="n">
        <v>460823.58</v>
      </c>
      <c r="D78" s="12" t="n">
        <v>432970.63</v>
      </c>
      <c r="E78" s="14" t="n">
        <v>0</v>
      </c>
    </row>
    <row r="79">
      <c r="A79" s="15" t="inlineStr">
        <is>
          <t>Total Liabilities 总负债</t>
        </is>
      </c>
      <c r="B79" s="4" t="n">
        <v>215780.89</v>
      </c>
      <c r="C79" s="4" t="n">
        <v>879523.1800000001</v>
      </c>
      <c r="D79" s="4" t="n">
        <v>826607.3199999999</v>
      </c>
      <c r="E79" s="4" t="n">
        <v>332600.04</v>
      </c>
    </row>
    <row r="80">
      <c r="A80" s="13" t="inlineStr">
        <is>
          <t>NAV (Equity) 净值 = TA - TL</t>
        </is>
      </c>
      <c r="B80" s="12" t="n">
        <v>550172.3199999999</v>
      </c>
      <c r="C80" s="12" t="n">
        <v>582781.98</v>
      </c>
      <c r="D80" s="12" t="n">
        <v>488568.97</v>
      </c>
      <c r="E80" s="12" t="n">
        <v>427014.91</v>
      </c>
    </row>
    <row r="81">
      <c r="A81" s="10" t="inlineStr">
        <is>
          <t>Gross Leverage 总杠杆 (x)</t>
        </is>
      </c>
      <c r="B81" s="7" t="n">
        <v>1.333</v>
      </c>
      <c r="C81" s="7" t="n">
        <v>2.495</v>
      </c>
      <c r="D81" s="7" t="n">
        <v>2.676</v>
      </c>
      <c r="E81" s="7" t="n">
        <v>1.571</v>
      </c>
    </row>
    <row r="82">
      <c r="A82" s="11" t="inlineStr">
        <is>
          <t>Net Leverage 净杠杆 (x)</t>
        </is>
      </c>
      <c r="B82" s="16" t="n">
        <v>0.549</v>
      </c>
      <c r="C82" s="16" t="n">
        <v>1.058</v>
      </c>
      <c r="D82" s="16" t="n">
        <v>1.064</v>
      </c>
      <c r="E82" s="16" t="n">
        <v>0.014</v>
      </c>
    </row>
    <row r="83">
      <c r="A83" s="10" t="inlineStr">
        <is>
          <t>PM Requirement (20%)</t>
        </is>
      </c>
      <c r="B83" s="4" t="n">
        <v>146680.13</v>
      </c>
      <c r="C83" s="4" t="n">
        <v>290786.23</v>
      </c>
      <c r="D83" s="4" t="n">
        <v>261460.71</v>
      </c>
      <c r="E83" s="4" t="n">
        <v>134206.52</v>
      </c>
    </row>
    <row r="84">
      <c r="A84" s="11" t="inlineStr">
        <is>
          <t>Excess Liquidity 超额流动性</t>
        </is>
      </c>
      <c r="B84" s="12" t="n">
        <v>403492.19</v>
      </c>
      <c r="C84" s="12" t="n">
        <v>291995.75</v>
      </c>
      <c r="D84" s="12" t="n">
        <v>227108.26</v>
      </c>
      <c r="E84" s="12" t="n">
        <v>292808.39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517619.76</v>
      </c>
      <c r="C89" s="4" t="n">
        <v>582781.98</v>
      </c>
      <c r="D89" s="4" t="n">
        <v>488568.97</v>
      </c>
      <c r="E89" s="4" t="n">
        <v>338432.58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517619.76</v>
      </c>
      <c r="C91" s="4" t="n">
        <v>1035231.57</v>
      </c>
      <c r="D91" s="4" t="n">
        <v>913666.87</v>
      </c>
      <c r="E91" s="4" t="n">
        <v>338432.58</v>
      </c>
    </row>
    <row r="92">
      <c r="A92" s="11" t="inlineStr">
        <is>
          <t>Long Book — Margin Loan 融资</t>
        </is>
      </c>
      <c r="B92" s="14" t="n">
        <v>0</v>
      </c>
      <c r="C92" s="12" t="n">
        <v>452449.59</v>
      </c>
      <c r="D92" s="12" t="n">
        <v>425097.9</v>
      </c>
      <c r="E92" s="14" t="n">
        <v>0</v>
      </c>
    </row>
    <row r="93">
      <c r="A93" s="15" t="inlineStr">
        <is>
          <t>Long Book — NAV</t>
        </is>
      </c>
      <c r="B93" s="4" t="n">
        <v>517619.76</v>
      </c>
      <c r="C93" s="4" t="n">
        <v>582781.98</v>
      </c>
      <c r="D93" s="4" t="n">
        <v>488568.97</v>
      </c>
      <c r="E93" s="4" t="n">
        <v>338432.58</v>
      </c>
    </row>
    <row r="94">
      <c r="A94" s="11" t="inlineStr">
        <is>
          <t>Short Book — Allocated Capital 分配资本</t>
        </is>
      </c>
      <c r="B94" s="12" t="n">
        <v>4315.62</v>
      </c>
      <c r="C94" s="14" t="n">
        <v>0</v>
      </c>
      <c r="D94" s="14" t="n">
        <v>0</v>
      </c>
      <c r="E94" s="12" t="n">
        <v>6652</v>
      </c>
    </row>
    <row r="95">
      <c r="A95" s="10" t="inlineStr">
        <is>
          <t>Short Book — Collateral 担保金</t>
        </is>
      </c>
      <c r="B95" s="4" t="n">
        <v>4315.62</v>
      </c>
      <c r="C95" s="17" t="n">
        <v>0</v>
      </c>
      <c r="D95" s="17" t="n">
        <v>0</v>
      </c>
      <c r="E95" s="4" t="n">
        <v>6652</v>
      </c>
    </row>
    <row r="96">
      <c r="A96" s="11" t="inlineStr">
        <is>
          <t>Short Book — Short Proceeds 做空收入</t>
        </is>
      </c>
      <c r="B96" s="12" t="n">
        <v>215780.89</v>
      </c>
      <c r="C96" s="12" t="n">
        <v>418699.6</v>
      </c>
      <c r="D96" s="12" t="n">
        <v>393636.69</v>
      </c>
      <c r="E96" s="12" t="n">
        <v>332600.04</v>
      </c>
    </row>
    <row r="97">
      <c r="A97" s="10" t="inlineStr">
        <is>
          <t>Short Book — Market Value 市值(负债)</t>
        </is>
      </c>
      <c r="B97" s="4" t="n">
        <v>215780.89</v>
      </c>
      <c r="C97" s="4" t="n">
        <v>418699.6</v>
      </c>
      <c r="D97" s="4" t="n">
        <v>393636.69</v>
      </c>
      <c r="E97" s="4" t="n">
        <v>332600.04</v>
      </c>
    </row>
    <row r="98">
      <c r="A98" s="11" t="inlineStr">
        <is>
          <t>Short Book — Margin Loan 融资(2%)</t>
        </is>
      </c>
      <c r="B98" s="14" t="n">
        <v>0</v>
      </c>
      <c r="C98" s="12" t="n">
        <v>8373.99</v>
      </c>
      <c r="D98" s="12" t="n">
        <v>7872.73</v>
      </c>
      <c r="E98" s="14" t="n">
        <v>0</v>
      </c>
    </row>
    <row r="99">
      <c r="A99" s="15" t="inlineStr">
        <is>
          <t>Short Book — NAV</t>
        </is>
      </c>
      <c r="B99" s="4" t="n">
        <v>4315.62</v>
      </c>
      <c r="C99" s="17" t="n">
        <v>0</v>
      </c>
      <c r="D99" s="17" t="n">
        <v>0</v>
      </c>
      <c r="E99" s="4" t="n">
        <v>6652</v>
      </c>
    </row>
    <row r="100">
      <c r="A100" s="11" t="inlineStr">
        <is>
          <t>Unallocated Cash 未分配现金</t>
        </is>
      </c>
      <c r="B100" s="12" t="n">
        <v>28236.94</v>
      </c>
      <c r="C100" s="14" t="n">
        <v>0</v>
      </c>
      <c r="D100" s="14" t="n">
        <v>0</v>
      </c>
      <c r="E100" s="12" t="n">
        <v>81930.33</v>
      </c>
    </row>
    <row r="101">
      <c r="A101" s="15" t="inlineStr">
        <is>
          <t>Dual-View NAV 双账户法NAV</t>
        </is>
      </c>
      <c r="B101" s="4" t="n">
        <v>550172.3199999999</v>
      </c>
      <c r="C101" s="4" t="n">
        <v>582781.98</v>
      </c>
      <c r="D101" s="4" t="n">
        <v>488568.97</v>
      </c>
      <c r="E101" s="4" t="n">
        <v>427014.91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18" t="n">
        <v>-28662.6</v>
      </c>
      <c r="C5" s="4" t="n">
        <v>65352.74</v>
      </c>
      <c r="D5" s="4" t="n">
        <v>109267.21</v>
      </c>
      <c r="E5" s="4" t="n">
        <v>199543.34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48484.54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3947.06</v>
      </c>
      <c r="C11" s="4" t="n">
        <v>3749.39</v>
      </c>
      <c r="D11" s="18" t="n">
        <v>-13890.2</v>
      </c>
      <c r="E11" s="4" t="n">
        <v>61537.87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3575.23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18" t="n">
        <v>-32609.66</v>
      </c>
      <c r="C17" s="4" t="n">
        <v>61603.35</v>
      </c>
      <c r="D17" s="4" t="n">
        <v>123157.41</v>
      </c>
      <c r="E17" s="4" t="n">
        <v>138005.47</v>
      </c>
    </row>
    <row r="18">
      <c r="A18" s="11" t="inlineStr">
        <is>
          <t>Interest expense (est)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0" t="inlineStr">
        <is>
          <t>Current unrealized PnL</t>
        </is>
      </c>
      <c r="B19" s="4" t="n">
        <v>44909.31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1149704.73</v>
      </c>
      <c r="C5" s="4" t="n">
        <v>1055689.39</v>
      </c>
      <c r="D5" s="4" t="n">
        <v>1011774.92</v>
      </c>
      <c r="E5" s="4" t="n">
        <v>921498.79</v>
      </c>
    </row>
    <row r="6">
      <c r="A6" s="11" t="inlineStr">
        <is>
          <t>Net income</t>
        </is>
      </c>
      <c r="B6" s="19" t="n">
        <v>-28662.6</v>
      </c>
      <c r="C6" s="12" t="n">
        <v>65352.74</v>
      </c>
      <c r="D6" s="12" t="n">
        <v>109267.21</v>
      </c>
      <c r="E6" s="12" t="n">
        <v>199543.34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1121042.13</v>
      </c>
      <c r="C9" s="4" t="n">
        <v>1121042.13</v>
      </c>
      <c r="D9" s="4" t="n">
        <v>1121042.13</v>
      </c>
      <c r="E9" s="4" t="n">
        <v>1121042.13</v>
      </c>
    </row>
    <row r="10">
      <c r="A10" s="11" t="inlineStr">
        <is>
          <t>Return (%)</t>
        </is>
      </c>
      <c r="B10" s="20" t="n">
        <v>-2.49</v>
      </c>
      <c r="C10" s="21" t="n">
        <v>6.19</v>
      </c>
      <c r="D10" s="21" t="n">
        <v>10.8</v>
      </c>
      <c r="E10" s="21" t="n">
        <v>21.65</v>
      </c>
    </row>
    <row r="11">
      <c r="A11" s="10" t="inlineStr">
        <is>
          <t>Max drawdown (%)</t>
        </is>
      </c>
      <c r="B11" s="22" t="n">
        <v>-2.49</v>
      </c>
      <c r="C11" s="22" t="n">
        <v>-2.49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566922.75</v>
      </c>
      <c r="C15" s="4" t="n">
        <v>567120.42</v>
      </c>
      <c r="D15" s="4" t="n">
        <v>584760.01</v>
      </c>
      <c r="E15" s="4" t="n">
        <v>509331.94</v>
      </c>
    </row>
    <row r="16">
      <c r="A16" s="11" t="inlineStr">
        <is>
          <t>Net income</t>
        </is>
      </c>
      <c r="B16" s="12" t="n">
        <v>3947.06</v>
      </c>
      <c r="C16" s="12" t="n">
        <v>3749.39</v>
      </c>
      <c r="D16" s="19" t="n">
        <v>-13890.2</v>
      </c>
      <c r="E16" s="12" t="n">
        <v>61537.87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570869.8100000001</v>
      </c>
      <c r="C19" s="4" t="n">
        <v>570869.8100000001</v>
      </c>
      <c r="D19" s="4" t="n">
        <v>570869.8100000001</v>
      </c>
      <c r="E19" s="4" t="n">
        <v>570869.8100000001</v>
      </c>
    </row>
    <row r="20">
      <c r="A20" s="11" t="inlineStr">
        <is>
          <t>Return (%)</t>
        </is>
      </c>
      <c r="B20" s="21" t="n">
        <v>0.7</v>
      </c>
      <c r="C20" s="21" t="n">
        <v>0.66</v>
      </c>
      <c r="D20" s="20" t="n">
        <v>-2.38</v>
      </c>
      <c r="E20" s="21" t="n">
        <v>12.08</v>
      </c>
    </row>
    <row r="21">
      <c r="A21" s="10" t="inlineStr">
        <is>
          <t>Max drawdown (%)</t>
        </is>
      </c>
      <c r="B21" s="23" t="n">
        <v>0</v>
      </c>
      <c r="C21" s="22" t="n">
        <v>-0.27</v>
      </c>
      <c r="D21" s="22" t="n">
        <v>-3.27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582781.98</v>
      </c>
      <c r="C25" s="4" t="n">
        <v>488568.97</v>
      </c>
      <c r="D25" s="4" t="n">
        <v>427014.91</v>
      </c>
      <c r="E25" s="4" t="n">
        <v>412166.85</v>
      </c>
    </row>
    <row r="26">
      <c r="A26" s="11" t="inlineStr">
        <is>
          <t>Net income</t>
        </is>
      </c>
      <c r="B26" s="19" t="n">
        <v>-32609.66</v>
      </c>
      <c r="C26" s="12" t="n">
        <v>61603.35</v>
      </c>
      <c r="D26" s="12" t="n">
        <v>123157.41</v>
      </c>
      <c r="E26" s="12" t="n">
        <v>138005.47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550172.3199999999</v>
      </c>
      <c r="C29" s="4" t="n">
        <v>550172.3199999999</v>
      </c>
      <c r="D29" s="4" t="n">
        <v>550172.3199999999</v>
      </c>
      <c r="E29" s="4" t="n">
        <v>550172.3199999999</v>
      </c>
    </row>
    <row r="30">
      <c r="A30" s="11" t="inlineStr">
        <is>
          <t>Return (%)</t>
        </is>
      </c>
      <c r="B30" s="20" t="n">
        <v>-5.6</v>
      </c>
      <c r="C30" s="21" t="n">
        <v>12.61</v>
      </c>
      <c r="D30" s="21" t="n">
        <v>28.84</v>
      </c>
      <c r="E30" s="21" t="n">
        <v>33.48</v>
      </c>
    </row>
    <row r="31">
      <c r="A31" s="10" t="inlineStr">
        <is>
          <t>Max drawdown (%)</t>
        </is>
      </c>
      <c r="B31" s="22" t="n">
        <v>-5.6</v>
      </c>
      <c r="C31" s="22" t="n">
        <v>-5.6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65352.74</v>
      </c>
    </row>
    <row r="5">
      <c r="A5" s="3" t="inlineStr">
        <is>
          <t>Investing cash flow</t>
        </is>
      </c>
      <c r="B5" s="4" t="n">
        <v>217010.91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282363.65</v>
      </c>
    </row>
    <row r="8">
      <c r="A8" s="3" t="inlineStr">
        <is>
          <t>Beginning cash</t>
        </is>
      </c>
      <c r="B8" s="4" t="n">
        <v>35966.64</v>
      </c>
    </row>
    <row r="9">
      <c r="A9" s="3" t="inlineStr">
        <is>
          <t>Ending cash</t>
        </is>
      </c>
      <c r="B9" s="4" t="n">
        <v>511983.08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1" t="inlineStr">
        <is>
          <t>2026-06-16</t>
        </is>
      </c>
      <c r="B159" s="12" t="n">
        <v>1121042.13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1121042.13</v>
      </c>
      <c r="C4" s="4" t="n">
        <v>603038.36</v>
      </c>
      <c r="D4" s="4" t="n">
        <v>301034.53</v>
      </c>
      <c r="E4" s="4" t="n">
        <v>904072.89</v>
      </c>
      <c r="F4" s="4" t="n">
        <v>302003.83</v>
      </c>
      <c r="G4" s="6" t="n">
        <v>0.806</v>
      </c>
      <c r="H4" s="6" t="n">
        <v>0.269</v>
      </c>
      <c r="I4" s="6" t="n">
        <v>80.65000000000001</v>
      </c>
      <c r="J4" s="6" t="n">
        <v>40.32</v>
      </c>
      <c r="K4" s="24" t="n">
        <v>6</v>
      </c>
    </row>
    <row r="5">
      <c r="A5" s="11" t="inlineStr">
        <is>
          <t>MRPT</t>
        </is>
      </c>
      <c r="B5" s="12" t="n">
        <v>570869.8100000001</v>
      </c>
      <c r="C5" s="12" t="n">
        <v>85418.60000000001</v>
      </c>
      <c r="D5" s="12" t="n">
        <v>85253.64</v>
      </c>
      <c r="E5" s="12" t="n">
        <v>170672.24</v>
      </c>
      <c r="F5" s="12" t="n">
        <v>164.96</v>
      </c>
      <c r="G5" s="25" t="n">
        <v>0.299</v>
      </c>
      <c r="H5" s="25" t="n">
        <v>0</v>
      </c>
      <c r="I5" s="25" t="n">
        <v>29.9</v>
      </c>
      <c r="J5" s="25" t="n">
        <v>14.95</v>
      </c>
      <c r="K5" s="26" t="n">
        <v>1</v>
      </c>
    </row>
    <row r="6">
      <c r="A6" s="10" t="inlineStr">
        <is>
          <t>MTFS</t>
        </is>
      </c>
      <c r="B6" s="4" t="n">
        <v>550172.3199999999</v>
      </c>
      <c r="C6" s="4" t="n">
        <v>517619.76</v>
      </c>
      <c r="D6" s="4" t="n">
        <v>215780.89</v>
      </c>
      <c r="E6" s="4" t="n">
        <v>733400.65</v>
      </c>
      <c r="F6" s="4" t="n">
        <v>301838.87</v>
      </c>
      <c r="G6" s="6" t="n">
        <v>1.333</v>
      </c>
      <c r="H6" s="6" t="n">
        <v>0.549</v>
      </c>
      <c r="I6" s="6" t="n">
        <v>133.3</v>
      </c>
      <c r="J6" s="6" t="n">
        <v>66.65000000000001</v>
      </c>
      <c r="K6" s="24" t="n">
        <v>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HHI=0.171  ·  effective N pairs=5.8  ·  max pair=19.15%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270556.2</v>
      </c>
      <c r="C6" s="4" t="n">
        <v>270556.2</v>
      </c>
      <c r="D6" s="23" t="n">
        <v>24.13</v>
      </c>
      <c r="E6" s="23" t="n">
        <v>29.93</v>
      </c>
      <c r="F6" s="24" t="n">
        <v>2</v>
      </c>
    </row>
    <row r="7">
      <c r="A7" s="11" t="inlineStr">
        <is>
          <t>STLD</t>
        </is>
      </c>
      <c r="B7" s="12" t="n">
        <v>105875.94</v>
      </c>
      <c r="C7" s="12" t="n">
        <v>105875.94</v>
      </c>
      <c r="D7" s="21" t="n">
        <v>9.44</v>
      </c>
      <c r="E7" s="21" t="n">
        <v>11.71</v>
      </c>
      <c r="F7" s="26" t="n">
        <v>1</v>
      </c>
    </row>
    <row r="8">
      <c r="A8" s="10" t="inlineStr">
        <is>
          <t>WMB</t>
        </is>
      </c>
      <c r="B8" s="4" t="n">
        <v>85418.60000000001</v>
      </c>
      <c r="C8" s="4" t="n">
        <v>85418.60000000001</v>
      </c>
      <c r="D8" s="23" t="n">
        <v>7.62</v>
      </c>
      <c r="E8" s="23" t="n">
        <v>9.449999999999999</v>
      </c>
      <c r="F8" s="24" t="n">
        <v>1</v>
      </c>
    </row>
    <row r="9">
      <c r="A9" s="11" t="inlineStr">
        <is>
          <t>BSX</t>
        </is>
      </c>
      <c r="B9" s="12" t="n">
        <v>85253.64</v>
      </c>
      <c r="C9" s="19" t="n">
        <v>-85253.64</v>
      </c>
      <c r="D9" s="21" t="n">
        <v>7.6</v>
      </c>
      <c r="E9" s="21" t="n">
        <v>9.43</v>
      </c>
      <c r="F9" s="26" t="n">
        <v>1</v>
      </c>
    </row>
    <row r="10">
      <c r="A10" s="10" t="inlineStr">
        <is>
          <t>NUE</t>
        </is>
      </c>
      <c r="B10" s="4" t="n">
        <v>85237.32000000001</v>
      </c>
      <c r="C10" s="4" t="n">
        <v>85237.32000000001</v>
      </c>
      <c r="D10" s="23" t="n">
        <v>7.6</v>
      </c>
      <c r="E10" s="23" t="n">
        <v>9.43</v>
      </c>
      <c r="F10" s="24" t="n">
        <v>1</v>
      </c>
    </row>
    <row r="11">
      <c r="A11" s="11" t="inlineStr">
        <is>
          <t>HST</t>
        </is>
      </c>
      <c r="B11" s="12" t="n">
        <v>55950.3</v>
      </c>
      <c r="C11" s="12" t="n">
        <v>55950.3</v>
      </c>
      <c r="D11" s="21" t="n">
        <v>4.99</v>
      </c>
      <c r="E11" s="21" t="n">
        <v>6.19</v>
      </c>
      <c r="F11" s="26" t="n">
        <v>1</v>
      </c>
    </row>
    <row r="12">
      <c r="A12" s="10" t="inlineStr">
        <is>
          <t>MKTX</t>
        </is>
      </c>
      <c r="B12" s="4" t="n">
        <v>52669.82</v>
      </c>
      <c r="C12" s="18" t="n">
        <v>-52669.82</v>
      </c>
      <c r="D12" s="23" t="n">
        <v>4.7</v>
      </c>
      <c r="E12" s="23" t="n">
        <v>5.83</v>
      </c>
      <c r="F12" s="24" t="n">
        <v>1</v>
      </c>
    </row>
    <row r="13">
      <c r="A13" s="11" t="inlineStr">
        <is>
          <t>UHS</t>
        </is>
      </c>
      <c r="B13" s="12" t="n">
        <v>52590.2</v>
      </c>
      <c r="C13" s="19" t="n">
        <v>-52590.2</v>
      </c>
      <c r="D13" s="21" t="n">
        <v>4.69</v>
      </c>
      <c r="E13" s="21" t="n">
        <v>5.82</v>
      </c>
      <c r="F13" s="26" t="n">
        <v>1</v>
      </c>
    </row>
    <row r="14">
      <c r="A14" s="10" t="inlineStr">
        <is>
          <t>TRMB</t>
        </is>
      </c>
      <c r="B14" s="4" t="n">
        <v>49358.16</v>
      </c>
      <c r="C14" s="18" t="n">
        <v>-49358.16</v>
      </c>
      <c r="D14" s="23" t="n">
        <v>4.4</v>
      </c>
      <c r="E14" s="23" t="n">
        <v>5.46</v>
      </c>
      <c r="F14" s="24" t="n">
        <v>1</v>
      </c>
    </row>
    <row r="15">
      <c r="A15" s="11" t="inlineStr">
        <is>
          <t>MOS</t>
        </is>
      </c>
      <c r="B15" s="12" t="n">
        <v>47023.92</v>
      </c>
      <c r="C15" s="19" t="n">
        <v>-47023.92</v>
      </c>
      <c r="D15" s="21" t="n">
        <v>4.19</v>
      </c>
      <c r="E15" s="21" t="n">
        <v>5.2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270556.2</v>
      </c>
      <c r="C20" s="4" t="n">
        <v>52669.82</v>
      </c>
      <c r="D20" s="4" t="n">
        <v>217886.38</v>
      </c>
      <c r="E20" s="7" t="n">
        <v>24.1</v>
      </c>
    </row>
    <row r="21">
      <c r="A21" s="11" t="inlineStr">
        <is>
          <t>materials</t>
        </is>
      </c>
      <c r="B21" s="12" t="n">
        <v>191113.26</v>
      </c>
      <c r="C21" s="14" t="n">
        <v>0</v>
      </c>
      <c r="D21" s="12" t="n">
        <v>191113.26</v>
      </c>
      <c r="E21" s="16" t="n">
        <v>21.14</v>
      </c>
    </row>
    <row r="22">
      <c r="A22" s="10" t="inlineStr">
        <is>
          <t>health</t>
        </is>
      </c>
      <c r="B22" s="17" t="n">
        <v>0</v>
      </c>
      <c r="C22" s="4" t="n">
        <v>151982.63</v>
      </c>
      <c r="D22" s="18" t="n">
        <v>-151982.63</v>
      </c>
      <c r="E22" s="7" t="n">
        <v>-16.81</v>
      </c>
    </row>
    <row r="23">
      <c r="A23" s="11" t="inlineStr">
        <is>
          <t>energy</t>
        </is>
      </c>
      <c r="B23" s="12" t="n">
        <v>85418.60000000001</v>
      </c>
      <c r="C23" s="14" t="n">
        <v>0</v>
      </c>
      <c r="D23" s="12" t="n">
        <v>85418.60000000001</v>
      </c>
      <c r="E23" s="16" t="n">
        <v>9.449999999999999</v>
      </c>
    </row>
    <row r="24">
      <c r="A24" s="10" t="inlineStr">
        <is>
          <t>realestate</t>
        </is>
      </c>
      <c r="B24" s="4" t="n">
        <v>55950.3</v>
      </c>
      <c r="C24" s="17" t="n">
        <v>0</v>
      </c>
      <c r="D24" s="4" t="n">
        <v>55950.3</v>
      </c>
      <c r="E24" s="7" t="n">
        <v>6.19</v>
      </c>
    </row>
    <row r="25">
      <c r="A25" s="11" t="inlineStr">
        <is>
          <t>industrial</t>
        </is>
      </c>
      <c r="B25" s="14" t="n">
        <v>0</v>
      </c>
      <c r="C25" s="12" t="n">
        <v>49358.16</v>
      </c>
      <c r="D25" s="19" t="n">
        <v>-49358.16</v>
      </c>
      <c r="E25" s="16" t="n">
        <v>-5.46</v>
      </c>
    </row>
    <row r="26">
      <c r="A26" s="10" t="inlineStr">
        <is>
          <t>food</t>
        </is>
      </c>
      <c r="B26" s="17" t="n">
        <v>0</v>
      </c>
      <c r="C26" s="4" t="n">
        <v>47023.92</v>
      </c>
      <c r="D26" s="18" t="n">
        <v>-47023.92</v>
      </c>
      <c r="E26" s="7" t="n">
        <v>-5.2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0.6870000000000001</v>
      </c>
    </row>
    <row r="4">
      <c r="A4" s="3" t="inlineStr">
        <is>
          <t>Gross beta</t>
        </is>
      </c>
      <c r="B4" s="5" t="n">
        <v>0.995</v>
      </c>
    </row>
    <row r="5">
      <c r="A5" s="3" t="inlineStr">
        <is>
          <t>Momentum factor net (% NAV)</t>
        </is>
      </c>
      <c r="B5" s="6" t="n">
        <v>26.92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24.1</v>
      </c>
    </row>
    <row r="11">
      <c r="A11" s="11" t="inlineStr">
        <is>
          <t>materials</t>
        </is>
      </c>
      <c r="B11" s="21" t="n">
        <v>21.14</v>
      </c>
    </row>
    <row r="12">
      <c r="A12" s="10" t="inlineStr">
        <is>
          <t>health</t>
        </is>
      </c>
      <c r="B12" s="22" t="n">
        <v>-16.81</v>
      </c>
    </row>
    <row r="13">
      <c r="A13" s="11" t="inlineStr">
        <is>
          <t>energy</t>
        </is>
      </c>
      <c r="B13" s="21" t="n">
        <v>9.449999999999999</v>
      </c>
    </row>
    <row r="14">
      <c r="A14" s="10" t="inlineStr">
        <is>
          <t>realestate</t>
        </is>
      </c>
      <c r="B14" s="23" t="n">
        <v>6.19</v>
      </c>
    </row>
    <row r="15">
      <c r="A15" s="11" t="inlineStr">
        <is>
          <t>industrial</t>
        </is>
      </c>
      <c r="B15" s="20" t="n">
        <v>-5.46</v>
      </c>
    </row>
    <row r="16">
      <c r="A16" s="10" t="inlineStr">
        <is>
          <t>food</t>
        </is>
      </c>
      <c r="B16" s="22" t="n">
        <v>-5.2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17707.7</v>
      </c>
    </row>
    <row r="4">
      <c r="A4" s="3" t="inlineStr">
        <is>
          <t>Parametric VaR 99% 1d ($)</t>
        </is>
      </c>
      <c r="B4" s="4" t="n">
        <v>25038.37</v>
      </c>
    </row>
    <row r="5">
      <c r="A5" s="3" t="inlineStr">
        <is>
          <t>Annual vol ($)</t>
        </is>
      </c>
      <c r="B5" s="4" t="n">
        <v>170882.08</v>
      </c>
    </row>
    <row r="6">
      <c r="A6" s="3" t="inlineStr">
        <is>
          <t>Annual vol (% NAV)</t>
        </is>
      </c>
      <c r="B6" s="6" t="n">
        <v>15.24</v>
      </c>
    </row>
    <row r="7">
      <c r="A7" s="3" t="inlineStr">
        <is>
          <t>Historical VaR 95% 1d ($)</t>
        </is>
      </c>
      <c r="B7" s="4" t="n">
        <v>9067.27</v>
      </c>
    </row>
    <row r="8">
      <c r="A8" s="3" t="inlineStr">
        <is>
          <t>Historical CVaR 95% 1d ($)</t>
        </is>
      </c>
      <c r="B8" s="4" t="n">
        <v>17703.88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7083.54</v>
      </c>
      <c r="C12" s="7" t="n">
        <v>40</v>
      </c>
    </row>
    <row r="13">
      <c r="A13" s="11" t="inlineStr">
        <is>
          <t>KLAC/TRMB</t>
        </is>
      </c>
      <c r="B13" s="12" t="n">
        <v>4955.26</v>
      </c>
      <c r="C13" s="16" t="n">
        <v>27.98</v>
      </c>
    </row>
    <row r="14">
      <c r="A14" s="10" t="inlineStr">
        <is>
          <t>STLD/UHS</t>
        </is>
      </c>
      <c r="B14" s="4" t="n">
        <v>2203.8</v>
      </c>
      <c r="C14" s="7" t="n">
        <v>12.45</v>
      </c>
    </row>
    <row r="15">
      <c r="A15" s="11" t="inlineStr">
        <is>
          <t>NUE/MKTX</t>
        </is>
      </c>
      <c r="B15" s="12" t="n">
        <v>1845.47</v>
      </c>
      <c r="C15" s="16" t="n">
        <v>10.42</v>
      </c>
    </row>
    <row r="16">
      <c r="A16" s="10" t="inlineStr">
        <is>
          <t>BSX/WMB</t>
        </is>
      </c>
      <c r="B16" s="4" t="n">
        <v>1632.8</v>
      </c>
      <c r="C16" s="7" t="n">
        <v>9.220000000000001</v>
      </c>
    </row>
    <row r="17">
      <c r="A17" s="11" t="inlineStr">
        <is>
          <t>HST/MOS</t>
        </is>
      </c>
      <c r="B17" s="29" t="n">
        <v>-13.17</v>
      </c>
      <c r="C17" s="16" t="n">
        <v>-0.07000000000000001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BSX</t>
        </is>
      </c>
      <c r="B6" s="7" t="inlineStr">
        <is>
          <t>BSX/WMB</t>
        </is>
      </c>
      <c r="C6" s="4" t="n">
        <v>1817</v>
      </c>
      <c r="D6" s="4" t="n">
        <v>18099912</v>
      </c>
      <c r="E6" s="7" t="n">
        <v>0</v>
      </c>
    </row>
    <row r="7">
      <c r="A7" s="11" t="inlineStr">
        <is>
          <t>WMB</t>
        </is>
      </c>
      <c r="B7" s="16" t="inlineStr">
        <is>
          <t>BSX/WMB</t>
        </is>
      </c>
      <c r="C7" s="12" t="n">
        <v>1195</v>
      </c>
      <c r="D7" s="12" t="n">
        <v>6140106</v>
      </c>
      <c r="E7" s="16" t="n">
        <v>0</v>
      </c>
    </row>
    <row r="8">
      <c r="A8" s="10" t="inlineStr">
        <is>
          <t>KLAC</t>
        </is>
      </c>
      <c r="B8" s="7" t="inlineStr">
        <is>
          <t>KLAC/REGN</t>
        </is>
      </c>
      <c r="C8" s="4" t="n">
        <v>670</v>
      </c>
      <c r="D8" s="4" t="n">
        <v>5871551</v>
      </c>
      <c r="E8" s="7" t="n">
        <v>0</v>
      </c>
    </row>
    <row r="9">
      <c r="A9" s="11" t="inlineStr">
        <is>
          <t>REGN</t>
        </is>
      </c>
      <c r="B9" s="16" t="inlineStr">
        <is>
          <t>KLAC/REGN</t>
        </is>
      </c>
      <c r="C9" s="14" t="n">
        <v>23</v>
      </c>
      <c r="D9" s="12" t="n">
        <v>1100599</v>
      </c>
      <c r="E9" s="16" t="n">
        <v>0</v>
      </c>
    </row>
    <row r="10">
      <c r="A10" s="10" t="inlineStr">
        <is>
          <t>NUE</t>
        </is>
      </c>
      <c r="B10" s="7" t="inlineStr">
        <is>
          <t>NUE/MKTX</t>
        </is>
      </c>
      <c r="C10" s="4" t="n">
        <v>329</v>
      </c>
      <c r="D10" s="4" t="n">
        <v>1470419</v>
      </c>
      <c r="E10" s="7" t="n">
        <v>0</v>
      </c>
    </row>
    <row r="11">
      <c r="A11" s="11" t="inlineStr">
        <is>
          <t>MKTX</t>
        </is>
      </c>
      <c r="B11" s="16" t="inlineStr">
        <is>
          <t>NUE/MKTX</t>
        </is>
      </c>
      <c r="C11" s="12" t="n">
        <v>422</v>
      </c>
      <c r="D11" s="12" t="n">
        <v>750048</v>
      </c>
      <c r="E11" s="16" t="n">
        <v>0</v>
      </c>
    </row>
    <row r="12">
      <c r="A12" s="10" t="inlineStr">
        <is>
          <t>STLD</t>
        </is>
      </c>
      <c r="B12" s="7" t="inlineStr">
        <is>
          <t>STLD/UHS</t>
        </is>
      </c>
      <c r="C12" s="4" t="n">
        <v>386</v>
      </c>
      <c r="D12" s="4" t="n">
        <v>1131108</v>
      </c>
      <c r="E12" s="7" t="n">
        <v>0</v>
      </c>
    </row>
    <row r="13">
      <c r="A13" s="11" t="inlineStr">
        <is>
          <t>UHS</t>
        </is>
      </c>
      <c r="B13" s="16" t="inlineStr">
        <is>
          <t>STLD/UHS</t>
        </is>
      </c>
      <c r="C13" s="12" t="n">
        <v>358</v>
      </c>
      <c r="D13" s="12" t="n">
        <v>999944</v>
      </c>
      <c r="E13" s="16" t="n">
        <v>0</v>
      </c>
    </row>
    <row r="14">
      <c r="A14" s="10" t="inlineStr">
        <is>
          <t>HST</t>
        </is>
      </c>
      <c r="B14" s="7" t="inlineStr">
        <is>
          <t>HST/MOS</t>
        </is>
      </c>
      <c r="C14" s="4" t="n">
        <v>2247</v>
      </c>
      <c r="D14" s="4" t="n">
        <v>9047032</v>
      </c>
      <c r="E14" s="7" t="n">
        <v>0</v>
      </c>
    </row>
    <row r="15">
      <c r="A15" s="11" t="inlineStr">
        <is>
          <t>MOS</t>
        </is>
      </c>
      <c r="B15" s="16" t="inlineStr">
        <is>
          <t>HST/MOS</t>
        </is>
      </c>
      <c r="C15" s="12" t="n">
        <v>2168</v>
      </c>
      <c r="D15" s="12" t="n">
        <v>9026080</v>
      </c>
      <c r="E15" s="16" t="n">
        <v>0</v>
      </c>
    </row>
    <row r="16">
      <c r="A16" s="10" t="inlineStr">
        <is>
          <t>KLAC</t>
        </is>
      </c>
      <c r="B16" s="7" t="inlineStr">
        <is>
          <t>KLAC/TRMB</t>
        </is>
      </c>
      <c r="C16" s="4" t="n">
        <v>470</v>
      </c>
      <c r="D16" s="4" t="n">
        <v>5871551</v>
      </c>
      <c r="E16" s="7" t="n">
        <v>0</v>
      </c>
    </row>
    <row r="17">
      <c r="A17" s="11" t="inlineStr">
        <is>
          <t>TRMB</t>
        </is>
      </c>
      <c r="B17" s="16" t="inlineStr">
        <is>
          <t>KLAC/TRMB</t>
        </is>
      </c>
      <c r="C17" s="12" t="n">
        <v>972</v>
      </c>
      <c r="D17" s="12" t="n">
        <v>2889043</v>
      </c>
      <c r="E17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-38507.8</v>
      </c>
      <c r="C4" s="22" t="n">
        <v>-3.44</v>
      </c>
    </row>
    <row r="5">
      <c r="A5" s="11" t="inlineStr">
        <is>
          <t>SPY -10%</t>
        </is>
      </c>
      <c r="B5" s="19" t="n">
        <v>-77015.59</v>
      </c>
      <c r="C5" s="20" t="n">
        <v>-6.87</v>
      </c>
    </row>
    <row r="6">
      <c r="A6" s="10" t="inlineStr">
        <is>
          <t>VIX +10pt</t>
        </is>
      </c>
      <c r="B6" s="18" t="n">
        <v>-38507.8</v>
      </c>
      <c r="C6" s="22" t="n">
        <v>-3.44</v>
      </c>
    </row>
    <row r="7">
      <c r="A7" s="11" t="inlineStr">
        <is>
          <t>Top sector -10%</t>
        </is>
      </c>
      <c r="B7" s="19" t="n">
        <v>-21788.64</v>
      </c>
      <c r="C7" s="20" t="n">
        <v>-1.94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0" t="inlineStr">
        <is>
          <t>gross_leverage</t>
        </is>
      </c>
      <c r="B4" s="31" t="inlineStr">
        <is>
          <t>mrpt</t>
        </is>
      </c>
      <c r="C4" s="31" t="n">
        <v>0.3</v>
      </c>
      <c r="D4" s="31" t="n">
        <v>3</v>
      </c>
      <c r="E4" s="31" t="n">
        <v>4</v>
      </c>
      <c r="F4" s="31" t="inlineStr">
        <is>
          <t>green</t>
        </is>
      </c>
    </row>
    <row r="5">
      <c r="A5" s="30" t="inlineStr">
        <is>
          <t>net_leverage_abs</t>
        </is>
      </c>
      <c r="B5" s="31" t="inlineStr">
        <is>
          <t>mrpt</t>
        </is>
      </c>
      <c r="C5" s="31" t="n">
        <v>0</v>
      </c>
      <c r="D5" s="31" t="n">
        <v>0.5</v>
      </c>
      <c r="E5" s="31" t="n">
        <v>1</v>
      </c>
      <c r="F5" s="31" t="inlineStr">
        <is>
          <t>green</t>
        </is>
      </c>
    </row>
    <row r="6">
      <c r="A6" s="30" t="inlineStr">
        <is>
          <t>gross_leverage</t>
        </is>
      </c>
      <c r="B6" s="31" t="inlineStr">
        <is>
          <t>mtfs</t>
        </is>
      </c>
      <c r="C6" s="31" t="n">
        <v>1.33</v>
      </c>
      <c r="D6" s="31" t="n">
        <v>3</v>
      </c>
      <c r="E6" s="31" t="n">
        <v>4</v>
      </c>
      <c r="F6" s="31" t="inlineStr">
        <is>
          <t>green</t>
        </is>
      </c>
    </row>
    <row r="7">
      <c r="A7" s="32" t="inlineStr">
        <is>
          <t>net_leverage_abs</t>
        </is>
      </c>
      <c r="B7" s="33" t="inlineStr">
        <is>
          <t>mtfs</t>
        </is>
      </c>
      <c r="C7" s="33" t="n">
        <v>0.55</v>
      </c>
      <c r="D7" s="33" t="n">
        <v>0.5</v>
      </c>
      <c r="E7" s="33" t="n">
        <v>1</v>
      </c>
      <c r="F7" s="33" t="inlineStr">
        <is>
          <t>amber</t>
        </is>
      </c>
    </row>
    <row r="8">
      <c r="A8" s="32" t="inlineStr">
        <is>
          <t>single_name_gross</t>
        </is>
      </c>
      <c r="B8" s="33" t="inlineStr">
        <is>
          <t>KLAC</t>
        </is>
      </c>
      <c r="C8" s="33" t="n">
        <v>24.13</v>
      </c>
      <c r="D8" s="33" t="n">
        <v>15</v>
      </c>
      <c r="E8" s="33" t="n">
        <v>25</v>
      </c>
      <c r="F8" s="33" t="inlineStr">
        <is>
          <t>amber</t>
        </is>
      </c>
    </row>
    <row r="9">
      <c r="A9" s="30" t="inlineStr">
        <is>
          <t>single_name_gross</t>
        </is>
      </c>
      <c r="B9" s="31" t="inlineStr">
        <is>
          <t>STLD</t>
        </is>
      </c>
      <c r="C9" s="31" t="n">
        <v>9.44</v>
      </c>
      <c r="D9" s="31" t="n">
        <v>15</v>
      </c>
      <c r="E9" s="31" t="n">
        <v>25</v>
      </c>
      <c r="F9" s="31" t="inlineStr">
        <is>
          <t>green</t>
        </is>
      </c>
    </row>
    <row r="10">
      <c r="A10" s="30" t="inlineStr">
        <is>
          <t>single_name_gross</t>
        </is>
      </c>
      <c r="B10" s="31" t="inlineStr">
        <is>
          <t>WMB</t>
        </is>
      </c>
      <c r="C10" s="31" t="n">
        <v>7.62</v>
      </c>
      <c r="D10" s="31" t="n">
        <v>15</v>
      </c>
      <c r="E10" s="31" t="n">
        <v>25</v>
      </c>
      <c r="F10" s="31" t="inlineStr">
        <is>
          <t>green</t>
        </is>
      </c>
    </row>
    <row r="11">
      <c r="A11" s="30" t="inlineStr">
        <is>
          <t>sector_net</t>
        </is>
      </c>
      <c r="B11" s="31" t="inlineStr">
        <is>
          <t>tech</t>
        </is>
      </c>
      <c r="C11" s="31" t="n">
        <v>24.1</v>
      </c>
      <c r="D11" s="31" t="n">
        <v>30</v>
      </c>
      <c r="E11" s="31" t="n">
        <v>50</v>
      </c>
      <c r="F11" s="31" t="inlineStr">
        <is>
          <t>green</t>
        </is>
      </c>
    </row>
    <row r="12">
      <c r="A12" s="30" t="inlineStr">
        <is>
          <t>max_pair</t>
        </is>
      </c>
      <c r="B12" s="31" t="inlineStr">
        <is>
          <t>combined</t>
        </is>
      </c>
      <c r="C12" s="31" t="n">
        <v>19.15</v>
      </c>
      <c r="D12" s="31" t="n">
        <v>20</v>
      </c>
      <c r="E12" s="31" t="n">
        <v>35</v>
      </c>
      <c r="F12" s="31" t="inlineStr">
        <is>
          <t>green</t>
        </is>
      </c>
    </row>
    <row r="13">
      <c r="A13" s="34" t="inlineStr">
        <is>
          <t>net_market_beta</t>
        </is>
      </c>
      <c r="B13" s="35" t="inlineStr">
        <is>
          <t>combined</t>
        </is>
      </c>
      <c r="C13" s="35" t="n">
        <v>0.6899999999999999</v>
      </c>
      <c r="D13" s="35" t="n">
        <v>0.3</v>
      </c>
      <c r="E13" s="35" t="n">
        <v>0.5</v>
      </c>
      <c r="F13" s="35" t="inlineStr">
        <is>
          <t>red</t>
        </is>
      </c>
    </row>
    <row r="14">
      <c r="A14" s="30" t="inlineStr">
        <is>
          <t>var_95_1d</t>
        </is>
      </c>
      <c r="B14" s="31" t="inlineStr">
        <is>
          <t>combined</t>
        </is>
      </c>
      <c r="C14" s="31" t="n">
        <v>1.58</v>
      </c>
      <c r="D14" s="31" t="n">
        <v>3</v>
      </c>
      <c r="E14" s="31" t="n">
        <v>5</v>
      </c>
      <c r="F14" s="31" t="inlineStr">
        <is>
          <t>green</t>
        </is>
      </c>
    </row>
    <row r="15">
      <c r="A15" s="30" t="inlineStr">
        <is>
          <t>open_pairs</t>
        </is>
      </c>
      <c r="B15" s="31" t="inlineStr">
        <is>
          <t>mrpt</t>
        </is>
      </c>
      <c r="C15" s="31" t="n">
        <v>1</v>
      </c>
      <c r="D15" s="31" t="n">
        <v>8</v>
      </c>
      <c r="E15" s="31" t="n"/>
      <c r="F15" s="31" t="inlineStr">
        <is>
          <t>green</t>
        </is>
      </c>
    </row>
    <row r="16">
      <c r="A16" s="30" t="inlineStr">
        <is>
          <t>open_pairs</t>
        </is>
      </c>
      <c r="B16" s="31" t="inlineStr">
        <is>
          <t>mtfs</t>
        </is>
      </c>
      <c r="C16" s="31" t="n">
        <v>5</v>
      </c>
      <c r="D16" s="31" t="n">
        <v>8</v>
      </c>
      <c r="E16" s="31" t="n"/>
      <c r="F16" s="31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BSX/WMB</t>
        </is>
      </c>
      <c r="C4" s="16" t="inlineStr">
        <is>
          <t>BSX</t>
        </is>
      </c>
      <c r="D4" s="16" t="inlineStr">
        <is>
          <t>short</t>
        </is>
      </c>
      <c r="E4" s="26" t="n">
        <v>-1817</v>
      </c>
      <c r="F4" s="14" t="n">
        <v>46.92</v>
      </c>
      <c r="G4" s="19" t="n">
        <v>-85253.64</v>
      </c>
      <c r="H4" s="16" t="inlineStr">
        <is>
          <t>health</t>
        </is>
      </c>
      <c r="I4" s="16" t="n">
        <v>0</v>
      </c>
      <c r="J4" s="16" t="inlineStr">
        <is>
          <t>tight_stop</t>
        </is>
      </c>
    </row>
    <row r="5">
      <c r="A5" s="10" t="inlineStr">
        <is>
          <t>MRPT</t>
        </is>
      </c>
      <c r="B5" s="7" t="inlineStr">
        <is>
          <t>BSX/WMB</t>
        </is>
      </c>
      <c r="C5" s="7" t="inlineStr">
        <is>
          <t>WMB</t>
        </is>
      </c>
      <c r="D5" s="7" t="inlineStr">
        <is>
          <t>long</t>
        </is>
      </c>
      <c r="E5" s="24" t="n">
        <v>1195</v>
      </c>
      <c r="F5" s="17" t="n">
        <v>71.48</v>
      </c>
      <c r="G5" s="4" t="n">
        <v>85418.60000000001</v>
      </c>
      <c r="H5" s="7" t="inlineStr">
        <is>
          <t>energy</t>
        </is>
      </c>
      <c r="I5" s="7" t="n">
        <v>0</v>
      </c>
      <c r="J5" s="7" t="inlineStr">
        <is>
          <t>tight_stop</t>
        </is>
      </c>
    </row>
    <row r="6">
      <c r="A6" s="11" t="inlineStr">
        <is>
          <t>MTFS</t>
        </is>
      </c>
      <c r="B6" s="16" t="inlineStr">
        <is>
          <t>KLAC/REGN</t>
        </is>
      </c>
      <c r="C6" s="16" t="inlineStr">
        <is>
          <t>KLAC</t>
        </is>
      </c>
      <c r="D6" s="16" t="inlineStr">
        <is>
          <t>long</t>
        </is>
      </c>
      <c r="E6" s="26" t="n">
        <v>670</v>
      </c>
      <c r="F6" s="12" t="n">
        <v>237.33</v>
      </c>
      <c r="G6" s="12" t="n">
        <v>159011.1</v>
      </c>
      <c r="H6" s="16" t="inlineStr">
        <is>
          <t>tech</t>
        </is>
      </c>
      <c r="I6" s="16" t="n">
        <v>0</v>
      </c>
      <c r="J6" s="16" t="inlineStr">
        <is>
          <t>beta_neutral_long_term</t>
        </is>
      </c>
    </row>
    <row r="7">
      <c r="A7" s="10" t="inlineStr">
        <is>
          <t>MTFS</t>
        </is>
      </c>
      <c r="B7" s="7" t="inlineStr">
        <is>
          <t>KLAC/REGN</t>
        </is>
      </c>
      <c r="C7" s="7" t="inlineStr">
        <is>
          <t>REGN</t>
        </is>
      </c>
      <c r="D7" s="7" t="inlineStr">
        <is>
          <t>short</t>
        </is>
      </c>
      <c r="E7" s="24" t="n">
        <v>-23</v>
      </c>
      <c r="F7" s="4" t="n">
        <v>614.73</v>
      </c>
      <c r="G7" s="18" t="n">
        <v>-14138.79</v>
      </c>
      <c r="H7" s="7" t="inlineStr">
        <is>
          <t>health</t>
        </is>
      </c>
      <c r="I7" s="7" t="n">
        <v>0</v>
      </c>
      <c r="J7" s="7" t="inlineStr">
        <is>
          <t>beta_neutral_long_term</t>
        </is>
      </c>
    </row>
    <row r="8">
      <c r="A8" s="11" t="inlineStr">
        <is>
          <t>MTFS</t>
        </is>
      </c>
      <c r="B8" s="16" t="inlineStr">
        <is>
          <t>NUE/MKTX</t>
        </is>
      </c>
      <c r="C8" s="16" t="inlineStr">
        <is>
          <t>NUE</t>
        </is>
      </c>
      <c r="D8" s="16" t="inlineStr">
        <is>
          <t>long</t>
        </is>
      </c>
      <c r="E8" s="26" t="n">
        <v>329</v>
      </c>
      <c r="F8" s="12" t="n">
        <v>259.08</v>
      </c>
      <c r="G8" s="12" t="n">
        <v>85237.32000000001</v>
      </c>
      <c r="H8" s="16" t="inlineStr">
        <is>
          <t>materials</t>
        </is>
      </c>
      <c r="I8" s="16" t="n">
        <v>0</v>
      </c>
      <c r="J8" s="16" t="inlineStr">
        <is>
          <t>weekly_aligned_windows</t>
        </is>
      </c>
    </row>
    <row r="9">
      <c r="A9" s="10" t="inlineStr">
        <is>
          <t>MTFS</t>
        </is>
      </c>
      <c r="B9" s="7" t="inlineStr">
        <is>
          <t>NUE/MKTX</t>
        </is>
      </c>
      <c r="C9" s="7" t="inlineStr">
        <is>
          <t>MKTX</t>
        </is>
      </c>
      <c r="D9" s="7" t="inlineStr">
        <is>
          <t>short</t>
        </is>
      </c>
      <c r="E9" s="24" t="n">
        <v>-422</v>
      </c>
      <c r="F9" s="4" t="n">
        <v>124.81</v>
      </c>
      <c r="G9" s="18" t="n">
        <v>-52669.82</v>
      </c>
      <c r="H9" s="7" t="inlineStr">
        <is>
          <t>tech</t>
        </is>
      </c>
      <c r="I9" s="7" t="n">
        <v>0</v>
      </c>
      <c r="J9" s="7" t="inlineStr">
        <is>
          <t>weekly_aligned_windows</t>
        </is>
      </c>
    </row>
    <row r="10">
      <c r="A10" s="11" t="inlineStr">
        <is>
          <t>MTFS</t>
        </is>
      </c>
      <c r="B10" s="16" t="inlineStr">
        <is>
          <t>STLD/UHS</t>
        </is>
      </c>
      <c r="C10" s="16" t="inlineStr">
        <is>
          <t>STLD</t>
        </is>
      </c>
      <c r="D10" s="16" t="inlineStr">
        <is>
          <t>long</t>
        </is>
      </c>
      <c r="E10" s="26" t="n">
        <v>386</v>
      </c>
      <c r="F10" s="12" t="n">
        <v>274.29</v>
      </c>
      <c r="G10" s="12" t="n">
        <v>105875.94</v>
      </c>
      <c r="H10" s="16" t="inlineStr">
        <is>
          <t>materials</t>
        </is>
      </c>
      <c r="I10" s="16" t="n">
        <v>1</v>
      </c>
      <c r="J10" s="16" t="inlineStr">
        <is>
          <t>no_reversal_protection</t>
        </is>
      </c>
    </row>
    <row r="11">
      <c r="A11" s="10" t="inlineStr">
        <is>
          <t>MTFS</t>
        </is>
      </c>
      <c r="B11" s="7" t="inlineStr">
        <is>
          <t>STLD/UHS</t>
        </is>
      </c>
      <c r="C11" s="7" t="inlineStr">
        <is>
          <t>UHS</t>
        </is>
      </c>
      <c r="D11" s="7" t="inlineStr">
        <is>
          <t>short</t>
        </is>
      </c>
      <c r="E11" s="24" t="n">
        <v>-358</v>
      </c>
      <c r="F11" s="4" t="n">
        <v>146.9</v>
      </c>
      <c r="G11" s="18" t="n">
        <v>-52590.2</v>
      </c>
      <c r="H11" s="7" t="inlineStr">
        <is>
          <t>health</t>
        </is>
      </c>
      <c r="I11" s="7" t="n">
        <v>1</v>
      </c>
      <c r="J11" s="7" t="inlineStr">
        <is>
          <t>no_reversal_protection</t>
        </is>
      </c>
    </row>
    <row r="12">
      <c r="A12" s="11" t="inlineStr">
        <is>
          <t>MTFS</t>
        </is>
      </c>
      <c r="B12" s="16" t="inlineStr">
        <is>
          <t>HST/MOS</t>
        </is>
      </c>
      <c r="C12" s="16" t="inlineStr">
        <is>
          <t>HST</t>
        </is>
      </c>
      <c r="D12" s="16" t="inlineStr">
        <is>
          <t>long</t>
        </is>
      </c>
      <c r="E12" s="26" t="n">
        <v>2247</v>
      </c>
      <c r="F12" s="14" t="n">
        <v>24.9</v>
      </c>
      <c r="G12" s="12" t="n">
        <v>55950.3</v>
      </c>
      <c r="H12" s="16" t="inlineStr">
        <is>
          <t>realestate</t>
        </is>
      </c>
      <c r="I12" s="16" t="n">
        <v>0</v>
      </c>
      <c r="J12" s="16" t="inlineStr">
        <is>
          <t>long_term_kalman</t>
        </is>
      </c>
    </row>
    <row r="13">
      <c r="A13" s="10" t="inlineStr">
        <is>
          <t>MTFS</t>
        </is>
      </c>
      <c r="B13" s="7" t="inlineStr">
        <is>
          <t>HST/MOS</t>
        </is>
      </c>
      <c r="C13" s="7" t="inlineStr">
        <is>
          <t>MOS</t>
        </is>
      </c>
      <c r="D13" s="7" t="inlineStr">
        <is>
          <t>short</t>
        </is>
      </c>
      <c r="E13" s="24" t="n">
        <v>-2168</v>
      </c>
      <c r="F13" s="17" t="n">
        <v>21.69</v>
      </c>
      <c r="G13" s="18" t="n">
        <v>-47023.92</v>
      </c>
      <c r="H13" s="7" t="inlineStr">
        <is>
          <t>food</t>
        </is>
      </c>
      <c r="I13" s="7" t="n">
        <v>0</v>
      </c>
      <c r="J13" s="7" t="inlineStr">
        <is>
          <t>long_term_kalman</t>
        </is>
      </c>
    </row>
    <row r="14">
      <c r="A14" s="11" t="inlineStr">
        <is>
          <t>MTFS</t>
        </is>
      </c>
      <c r="B14" s="16" t="inlineStr">
        <is>
          <t>KLAC/TRMB</t>
        </is>
      </c>
      <c r="C14" s="16" t="inlineStr">
        <is>
          <t>KLAC</t>
        </is>
      </c>
      <c r="D14" s="16" t="inlineStr">
        <is>
          <t>long</t>
        </is>
      </c>
      <c r="E14" s="26" t="n">
        <v>470</v>
      </c>
      <c r="F14" s="12" t="n">
        <v>237.33</v>
      </c>
      <c r="G14" s="12" t="n">
        <v>111545.1</v>
      </c>
      <c r="H14" s="16" t="inlineStr">
        <is>
          <t>tech</t>
        </is>
      </c>
      <c r="I14" s="16" t="n">
        <v>1</v>
      </c>
      <c r="J14" s="16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KLAC/TRMB</t>
        </is>
      </c>
      <c r="C15" s="7" t="inlineStr">
        <is>
          <t>TRMB</t>
        </is>
      </c>
      <c r="D15" s="7" t="inlineStr">
        <is>
          <t>short</t>
        </is>
      </c>
      <c r="E15" s="24" t="n">
        <v>-972</v>
      </c>
      <c r="F15" s="17" t="n">
        <v>50.78</v>
      </c>
      <c r="G15" s="18" t="n">
        <v>-49358.16</v>
      </c>
      <c r="H15" s="7" t="inlineStr">
        <is>
          <t>industrial</t>
        </is>
      </c>
      <c r="I15" s="7" t="n">
        <v>1</v>
      </c>
      <c r="J15" s="7" t="inlineStr">
        <is>
          <t>monthly_aligned_windows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BSX/WMB</t>
        </is>
      </c>
      <c r="C4" s="12" t="n">
        <v>3575.23</v>
      </c>
      <c r="D4" s="12" t="n">
        <v>170672.24</v>
      </c>
      <c r="E4" s="16" t="n">
        <v>0</v>
      </c>
      <c r="F4" s="16" t="inlineStr">
        <is>
          <t>tight_stop</t>
        </is>
      </c>
      <c r="G4" s="16" t="inlineStr">
        <is>
          <t>short</t>
        </is>
      </c>
    </row>
    <row r="5">
      <c r="A5" s="10" t="inlineStr">
        <is>
          <t>MTFS</t>
        </is>
      </c>
      <c r="B5" s="7" t="inlineStr">
        <is>
          <t>KLAC/REGN</t>
        </is>
      </c>
      <c r="C5" s="4" t="n">
        <v>24705.44</v>
      </c>
      <c r="D5" s="4" t="n">
        <v>173149.89</v>
      </c>
      <c r="E5" s="7" t="n">
        <v>0</v>
      </c>
      <c r="F5" s="7" t="inlineStr">
        <is>
          <t>beta_neutral_long_term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NUE/MKTX</t>
        </is>
      </c>
      <c r="C6" s="12" t="n">
        <v>5194.38</v>
      </c>
      <c r="D6" s="12" t="n">
        <v>137907.14</v>
      </c>
      <c r="E6" s="16" t="n">
        <v>0</v>
      </c>
      <c r="F6" s="16" t="inlineStr">
        <is>
          <t>weekly_aligned_windows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STLD/UHS</t>
        </is>
      </c>
      <c r="C7" s="4" t="n">
        <v>1544</v>
      </c>
      <c r="D7" s="4" t="n">
        <v>158466.14</v>
      </c>
      <c r="E7" s="7" t="n">
        <v>1</v>
      </c>
      <c r="F7" s="7" t="inlineStr">
        <is>
          <t>no_reversal_protection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HST/MOS</t>
        </is>
      </c>
      <c r="C8" s="12" t="n">
        <v>361.54</v>
      </c>
      <c r="D8" s="12" t="n">
        <v>102974.22</v>
      </c>
      <c r="E8" s="16" t="n">
        <v>0</v>
      </c>
      <c r="F8" s="16" t="inlineStr">
        <is>
          <t>long_term_kalman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KLAC/TRMB</t>
        </is>
      </c>
      <c r="C9" s="4" t="n">
        <v>13103.95</v>
      </c>
      <c r="D9" s="4" t="n">
        <v>160903.26</v>
      </c>
      <c r="E9" s="7" t="n">
        <v>1</v>
      </c>
      <c r="F9" s="7" t="inlineStr">
        <is>
          <t>monthly_aligned_windows</t>
        </is>
      </c>
      <c r="G9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2026-06-16</t>
        </is>
      </c>
      <c r="C4" s="7" t="inlineStr">
        <is>
          <t>2026-06-16</t>
        </is>
      </c>
    </row>
    <row r="5">
      <c r="A5" s="11" t="inlineStr">
        <is>
          <t>T_1D</t>
        </is>
      </c>
      <c r="B5" s="16" t="inlineStr">
        <is>
          <t>2026-06-12</t>
        </is>
      </c>
      <c r="C5" s="16" t="inlineStr">
        <is>
          <t>2026-06-12</t>
        </is>
      </c>
    </row>
    <row r="6">
      <c r="A6" s="10" t="inlineStr">
        <is>
          <t>T_1W</t>
        </is>
      </c>
      <c r="B6" s="7" t="inlineStr">
        <is>
          <t>2026-06-09</t>
        </is>
      </c>
      <c r="C6" s="7" t="inlineStr">
        <is>
          <t>2026-06-09</t>
        </is>
      </c>
    </row>
    <row r="7">
      <c r="A7" s="11" t="inlineStr">
        <is>
          <t>T_1M</t>
        </is>
      </c>
      <c r="B7" s="16" t="inlineStr">
        <is>
          <t>2026-05-18</t>
        </is>
      </c>
      <c r="C7" s="16" t="inlineStr">
        <is>
          <t>2026-05-18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14.38</v>
      </c>
      <c r="C6" s="7" t="n">
        <v>0.45</v>
      </c>
      <c r="D6" s="7" t="n">
        <v>25</v>
      </c>
      <c r="E6" s="22" t="n">
        <v>-13.93</v>
      </c>
    </row>
    <row r="7">
      <c r="A7" s="11" t="inlineStr">
        <is>
          <t>MTFS</t>
        </is>
      </c>
      <c r="B7" s="16" t="n">
        <v>13.86</v>
      </c>
      <c r="C7" s="16" t="n">
        <v>25.79</v>
      </c>
      <c r="D7" s="16" t="n">
        <v>25</v>
      </c>
      <c r="E7" s="21" t="n">
        <v>11.93</v>
      </c>
    </row>
    <row r="8">
      <c r="A8" s="10" t="inlineStr">
        <is>
          <t>SSRS</t>
        </is>
      </c>
      <c r="B8" s="7" t="n">
        <v>24.59</v>
      </c>
      <c r="C8" s="7" t="n">
        <v>3.54</v>
      </c>
      <c r="D8" s="7" t="n">
        <v>25</v>
      </c>
      <c r="E8" s="22" t="n">
        <v>-21.05</v>
      </c>
    </row>
    <row r="9">
      <c r="A9" s="11" t="inlineStr">
        <is>
          <t>AISS</t>
        </is>
      </c>
      <c r="B9" s="16" t="n">
        <v>47.17</v>
      </c>
      <c r="C9" s="16" t="n">
        <v>70.22</v>
      </c>
      <c r="D9" s="16" t="n">
        <v>25</v>
      </c>
      <c r="E9" s="21" t="n">
        <v>23.05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40</v>
      </c>
    </row>
    <row r="14">
      <c r="A14" s="11" t="inlineStr">
        <is>
          <t>KLAC/TRMB</t>
        </is>
      </c>
      <c r="B14" s="16" t="n">
        <v>27.98</v>
      </c>
    </row>
    <row r="15">
      <c r="A15" s="10" t="inlineStr">
        <is>
          <t>STLD/UHS</t>
        </is>
      </c>
      <c r="B15" s="7" t="n">
        <v>12.45</v>
      </c>
    </row>
    <row r="16">
      <c r="A16" s="11" t="inlineStr">
        <is>
          <t>NUE/MKTX</t>
        </is>
      </c>
      <c r="B16" s="16" t="n">
        <v>10.42</v>
      </c>
    </row>
    <row r="17">
      <c r="A17" s="10" t="inlineStr">
        <is>
          <t>BSX/WMB</t>
        </is>
      </c>
      <c r="B17" s="7" t="n">
        <v>9.220000000000001</v>
      </c>
    </row>
    <row r="18">
      <c r="A18" s="11" t="inlineStr">
        <is>
          <t>HST/MOS</t>
        </is>
      </c>
      <c r="B18" s="16" t="n">
        <v>-0.07000000000000001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21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0.8090000000000001</v>
      </c>
      <c r="C4" s="7" t="n">
        <v>20.476</v>
      </c>
      <c r="D4" s="7" t="n">
        <v>0</v>
      </c>
      <c r="E4" s="7" t="b">
        <v>1</v>
      </c>
      <c r="F4" s="7" t="n">
        <v>2.405</v>
      </c>
      <c r="G4" s="7" t="n">
        <v>2.405</v>
      </c>
      <c r="H4" s="7" t="n">
        <v>0</v>
      </c>
    </row>
    <row r="5">
      <c r="A5" s="11" t="inlineStr">
        <is>
          <t>MRPT</t>
        </is>
      </c>
      <c r="B5" s="16" t="n">
        <v>-0.428</v>
      </c>
      <c r="C5" s="16" t="n">
        <v>2.619</v>
      </c>
      <c r="D5" s="16" t="n">
        <v>0</v>
      </c>
      <c r="E5" s="16" t="b">
        <v>1</v>
      </c>
      <c r="F5" s="16" t="n">
        <v>1.576</v>
      </c>
      <c r="G5" s="16" t="n">
        <v>1.642</v>
      </c>
      <c r="H5" s="16" t="n">
        <v>0.066</v>
      </c>
    </row>
    <row r="6">
      <c r="A6" s="10" t="inlineStr">
        <is>
          <t>MTFS</t>
        </is>
      </c>
      <c r="B6" s="7" t="n">
        <v>1.901</v>
      </c>
      <c r="C6" s="7" t="n">
        <v>23.47</v>
      </c>
      <c r="D6" s="7" t="n">
        <v>0</v>
      </c>
      <c r="E6" s="7" t="b">
        <v>1</v>
      </c>
      <c r="F6" s="7" t="n">
        <v>5.167</v>
      </c>
      <c r="G6" s="7" t="n">
        <v>5.167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1.42</v>
      </c>
      <c r="C9" s="7" t="n">
        <v>0.8699</v>
      </c>
      <c r="D9" s="7" t="n">
        <v>330</v>
      </c>
      <c r="E9" s="7" t="n">
        <v>8.859999999999999</v>
      </c>
      <c r="F9" s="7" t="n">
        <v>9.470000000000001</v>
      </c>
      <c r="G9" s="7" t="n">
        <v>75</v>
      </c>
      <c r="H9" s="7" t="n">
        <v>4.96</v>
      </c>
      <c r="I9" s="7" t="n">
        <v>2.48</v>
      </c>
      <c r="J9" s="7" t="n">
        <v>0.806</v>
      </c>
    </row>
    <row r="10">
      <c r="A10" s="11" t="inlineStr">
        <is>
          <t>MRPT</t>
        </is>
      </c>
      <c r="B10" s="16" t="n">
        <v>1.241</v>
      </c>
      <c r="C10" s="16" t="n">
        <v>0.8293</v>
      </c>
      <c r="D10" s="16" t="n">
        <v>461</v>
      </c>
      <c r="E10" s="16" t="n">
        <v>9.35</v>
      </c>
      <c r="F10" s="16" t="n">
        <v>9.57</v>
      </c>
      <c r="G10" s="16" t="n">
        <v>77.59999999999999</v>
      </c>
      <c r="H10" s="16" t="n">
        <v>5.81</v>
      </c>
      <c r="I10" s="16" t="n">
        <v>2.91</v>
      </c>
      <c r="J10" s="16" t="n">
        <v>0.299</v>
      </c>
    </row>
    <row r="11">
      <c r="A11" s="10" t="inlineStr">
        <is>
          <t>MTFS</t>
        </is>
      </c>
      <c r="B11" s="7" t="n">
        <v>1.152</v>
      </c>
      <c r="C11" s="7" t="n">
        <v>0.8294</v>
      </c>
      <c r="D11" s="7" t="n">
        <v>461</v>
      </c>
      <c r="E11" s="7" t="n">
        <v>15.56</v>
      </c>
      <c r="F11" s="7" t="n">
        <v>18.48</v>
      </c>
      <c r="G11" s="7" t="n">
        <v>78.2</v>
      </c>
      <c r="H11" s="7" t="n">
        <v>2.02</v>
      </c>
      <c r="I11" s="7" t="n">
        <v>1.01</v>
      </c>
      <c r="J11" s="7" t="n">
        <v>1.333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2026-06-24T22:51:34Z</dcterms:created>
  <dcterms:modified xmlns:dcterms="http://purl.org/dc/terms/" xmlns:xsi="http://www.w3.org/2001/XMLSchema-instance" xsi:type="dcterms:W3CDTF">2026-06-24T22:51:34Z</dcterms:modified>
</cp:coreProperties>
</file>