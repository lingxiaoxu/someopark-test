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Trend'!$A$4:$A$192</f>
            </numRef>
          </cat>
          <val>
            <numRef>
              <f>'NAV Trend'!$B$4:$B$192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2026-07-31  ·  Generated 2026-08-01T08:36:12  ·  Scope: MRPT+MTFS pairs book (model-based, broker-reconciled)</t>
        </is>
      </c>
    </row>
    <row r="4">
      <c r="A4" s="3" t="inlineStr">
        <is>
          <t>NAV (equity)</t>
        </is>
      </c>
      <c r="B4" s="4" t="n">
        <v>912425.76</v>
      </c>
    </row>
    <row r="5">
      <c r="A5" s="3" t="inlineStr">
        <is>
          <t>Gross leverage (x)</t>
        </is>
      </c>
      <c r="B5" s="5" t="n">
        <v>1.865</v>
      </c>
    </row>
    <row r="6">
      <c r="A6" s="3" t="inlineStr">
        <is>
          <t>Net leverage (x)</t>
        </is>
      </c>
      <c r="B6" s="6" t="n">
        <v>0.235</v>
      </c>
    </row>
    <row r="7">
      <c r="A7" s="3" t="inlineStr">
        <is>
          <t>Net market beta (target≈0)</t>
        </is>
      </c>
      <c r="B7" s="6" t="n">
        <v>-0.6</v>
      </c>
    </row>
    <row r="8">
      <c r="A8" s="3" t="inlineStr">
        <is>
          <t>VaR 95% 1-day ($)</t>
        </is>
      </c>
      <c r="B8" s="4" t="n">
        <v>20220.41</v>
      </c>
    </row>
    <row r="9">
      <c r="A9" s="3" t="inlineStr">
        <is>
          <t>VaR 95% 1-day (% NAV)</t>
        </is>
      </c>
      <c r="B9" s="5" t="n">
        <v>2.22</v>
      </c>
    </row>
    <row r="10">
      <c r="A10" s="3" t="inlineStr">
        <is>
          <t>Annual vol (% NAV)</t>
        </is>
      </c>
      <c r="B10" s="5" t="n">
        <v>21.39</v>
      </c>
    </row>
    <row r="11">
      <c r="A11" s="3" t="inlineStr">
        <is>
          <t>Sharpe (annual)</t>
        </is>
      </c>
      <c r="B11" s="6" t="n">
        <v>0.09</v>
      </c>
    </row>
    <row r="12">
      <c r="A12" s="3" t="inlineStr">
        <is>
          <t>PSR( SR&gt;0 )</t>
        </is>
      </c>
      <c r="B12" s="6" t="n">
        <v>0.5306999999999999</v>
      </c>
    </row>
    <row r="13">
      <c r="A13" s="3" t="inlineStr">
        <is>
          <t>CDaR 95% (%)</t>
        </is>
      </c>
      <c r="B13" s="5" t="n">
        <v>18.22</v>
      </c>
    </row>
    <row r="14">
      <c r="A14" s="3" t="inlineStr">
        <is>
          <t>Kelly full / half (x)</t>
        </is>
      </c>
      <c r="B14" s="7" t="inlineStr">
        <is>
          <t>-0.33 / -0.17</t>
        </is>
      </c>
    </row>
    <row r="15">
      <c r="A15" s="3" t="inlineStr">
        <is>
          <t>Actual gross leverage (x)</t>
        </is>
      </c>
      <c r="B15" s="5" t="n">
        <v>1.865</v>
      </c>
    </row>
    <row r="16">
      <c r="A16" s="3" t="inlineStr">
        <is>
          <t>Max single-name</t>
        </is>
      </c>
      <c r="B16" s="7" t="inlineStr">
        <is>
          <t>PSX (25.33% NAV)</t>
        </is>
      </c>
    </row>
    <row r="17">
      <c r="A17" s="3" t="inlineStr">
        <is>
          <t>Max sector net (% gross)</t>
        </is>
      </c>
      <c r="B17" s="5" t="n">
        <v>17.51</v>
      </c>
    </row>
    <row r="18">
      <c r="A18" s="3" t="inlineStr">
        <is>
          <t>Open pairs</t>
        </is>
      </c>
      <c r="B18" s="5" t="n">
        <v>7</v>
      </c>
    </row>
    <row r="19">
      <c r="A19" s="3" t="inlineStr">
        <is>
          <t>Limit breaches</t>
        </is>
      </c>
      <c r="B19" s="6" t="n">
        <v>0</v>
      </c>
    </row>
    <row r="20">
      <c r="A20" s="3" t="inlineStr">
        <is>
          <t>Worst breach</t>
        </is>
      </c>
      <c r="B20" s="7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357979.14</v>
      </c>
      <c r="D5" s="4" t="n">
        <v>6358.81</v>
      </c>
      <c r="E5" s="4" t="n">
        <v>731463.28</v>
      </c>
    </row>
    <row r="6">
      <c r="A6" s="12" t="inlineStr">
        <is>
          <t>Restricted Cash 受限现金 (PB 102%)</t>
        </is>
      </c>
      <c r="B6" s="13" t="n">
        <v>758497.83</v>
      </c>
      <c r="C6" s="13" t="n">
        <v>366207.65</v>
      </c>
      <c r="D6" s="13" t="n">
        <v>789849.72</v>
      </c>
      <c r="E6" s="13" t="n">
        <v>228269.41</v>
      </c>
    </row>
    <row r="7">
      <c r="A7" s="10" t="inlineStr">
        <is>
          <t>Long Securities 多头证券</t>
        </is>
      </c>
      <c r="B7" s="4" t="n">
        <v>957873.5</v>
      </c>
      <c r="C7" s="4" t="n">
        <v>559575.99</v>
      </c>
      <c r="D7" s="4" t="n">
        <v>978916.34</v>
      </c>
      <c r="E7" s="4" t="n">
        <v>318692.05</v>
      </c>
    </row>
    <row r="8">
      <c r="A8" s="14" t="inlineStr">
        <is>
          <t>Total Assets 总资产</t>
        </is>
      </c>
      <c r="B8" s="13" t="n">
        <v>1716371.33</v>
      </c>
      <c r="C8" s="13" t="n">
        <v>1283762.78</v>
      </c>
      <c r="D8" s="13" t="n">
        <v>1775124.86</v>
      </c>
      <c r="E8" s="13" t="n">
        <v>1278424.74</v>
      </c>
    </row>
    <row r="9">
      <c r="A9" s="10" t="inlineStr">
        <is>
          <t>Short Securities 空头证券 (义务)</t>
        </is>
      </c>
      <c r="B9" s="4" t="n">
        <v>743625.3199999999</v>
      </c>
      <c r="C9" s="4" t="n">
        <v>359027.11</v>
      </c>
      <c r="D9" s="4" t="n">
        <v>774362.47</v>
      </c>
      <c r="E9" s="4" t="n">
        <v>223793.54</v>
      </c>
    </row>
    <row r="10">
      <c r="A10" s="12" t="inlineStr">
        <is>
          <t>Margin Loan 保证金借款</t>
        </is>
      </c>
      <c r="B10" s="13" t="n">
        <v>60320.25</v>
      </c>
      <c r="C10" s="15" t="n">
        <v>0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803945.5699999999</v>
      </c>
      <c r="C11" s="4" t="n">
        <v>359027.11</v>
      </c>
      <c r="D11" s="4" t="n">
        <v>774362.47</v>
      </c>
      <c r="E11" s="4" t="n">
        <v>223793.54</v>
      </c>
    </row>
    <row r="12">
      <c r="A12" s="14" t="inlineStr">
        <is>
          <t>NAV (Equity) 净值 = TA - TL</t>
        </is>
      </c>
      <c r="B12" s="13" t="n">
        <v>912425.76</v>
      </c>
      <c r="C12" s="13" t="n">
        <v>924735.67</v>
      </c>
      <c r="D12" s="13" t="n">
        <v>1000762.39</v>
      </c>
      <c r="E12" s="13" t="n">
        <v>1054631.2</v>
      </c>
    </row>
    <row r="13">
      <c r="A13" s="10" t="inlineStr">
        <is>
          <t>Gross Leverage 总杠杆 (x)</t>
        </is>
      </c>
      <c r="B13" s="7" t="n">
        <v>1.865</v>
      </c>
      <c r="C13" s="7" t="n">
        <v>0.993</v>
      </c>
      <c r="D13" s="7" t="n">
        <v>1.752</v>
      </c>
      <c r="E13" s="7" t="n">
        <v>0.514</v>
      </c>
    </row>
    <row r="14">
      <c r="A14" s="12" t="inlineStr">
        <is>
          <t>Net Leverage 净杠杆 (x)</t>
        </is>
      </c>
      <c r="B14" s="17" t="n">
        <v>0.235</v>
      </c>
      <c r="C14" s="17" t="n">
        <v>0.217</v>
      </c>
      <c r="D14" s="17" t="n">
        <v>0.204</v>
      </c>
      <c r="E14" s="17" t="n">
        <v>0.09</v>
      </c>
    </row>
    <row r="15">
      <c r="A15" s="10" t="inlineStr">
        <is>
          <t>PM Requirement (20%)</t>
        </is>
      </c>
      <c r="B15" s="4" t="n">
        <v>340299.76</v>
      </c>
      <c r="C15" s="4" t="n">
        <v>183720.62</v>
      </c>
      <c r="D15" s="4" t="n">
        <v>350655.76</v>
      </c>
      <c r="E15" s="4" t="n">
        <v>108497.12</v>
      </c>
    </row>
    <row r="16">
      <c r="A16" s="12" t="inlineStr">
        <is>
          <t>Excess Liquidity 超额流动性</t>
        </is>
      </c>
      <c r="B16" s="13" t="n">
        <v>572126</v>
      </c>
      <c r="C16" s="13" t="n">
        <v>741015.05</v>
      </c>
      <c r="D16" s="13" t="n">
        <v>650106.63</v>
      </c>
      <c r="E16" s="13" t="n">
        <v>946134.08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912425.76</v>
      </c>
      <c r="C21" s="4" t="n">
        <v>559575.99</v>
      </c>
      <c r="D21" s="4" t="n">
        <v>978916.34</v>
      </c>
      <c r="E21" s="4" t="n">
        <v>318692.05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957873.5</v>
      </c>
      <c r="C23" s="4" t="n">
        <v>559575.99</v>
      </c>
      <c r="D23" s="4" t="n">
        <v>978916.34</v>
      </c>
      <c r="E23" s="4" t="n">
        <v>318692.05</v>
      </c>
    </row>
    <row r="24">
      <c r="A24" s="12" t="inlineStr">
        <is>
          <t>Long Book — Margin Loan 融资</t>
        </is>
      </c>
      <c r="B24" s="13" t="n">
        <v>45447.74</v>
      </c>
      <c r="C24" s="15" t="n">
        <v>0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912425.76</v>
      </c>
      <c r="C25" s="4" t="n">
        <v>559575.99</v>
      </c>
      <c r="D25" s="4" t="n">
        <v>978916.34</v>
      </c>
      <c r="E25" s="4" t="n">
        <v>318692.05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7180.54</v>
      </c>
      <c r="D26" s="13" t="n">
        <v>15487.25</v>
      </c>
      <c r="E26" s="13" t="n">
        <v>4475.87</v>
      </c>
    </row>
    <row r="27">
      <c r="A27" s="10" t="inlineStr">
        <is>
          <t>Short Book — Collateral 担保金</t>
        </is>
      </c>
      <c r="B27" s="11" t="n">
        <v>0</v>
      </c>
      <c r="C27" s="4" t="n">
        <v>7180.54</v>
      </c>
      <c r="D27" s="4" t="n">
        <v>15487.25</v>
      </c>
      <c r="E27" s="4" t="n">
        <v>4475.87</v>
      </c>
    </row>
    <row r="28">
      <c r="A28" s="12" t="inlineStr">
        <is>
          <t>Short Book — Short Proceeds 做空收入</t>
        </is>
      </c>
      <c r="B28" s="13" t="n">
        <v>743625.3199999999</v>
      </c>
      <c r="C28" s="13" t="n">
        <v>359027.11</v>
      </c>
      <c r="D28" s="13" t="n">
        <v>774362.47</v>
      </c>
      <c r="E28" s="13" t="n">
        <v>223793.54</v>
      </c>
    </row>
    <row r="29">
      <c r="A29" s="10" t="inlineStr">
        <is>
          <t>Short Book — Market Value 市值(负债)</t>
        </is>
      </c>
      <c r="B29" s="4" t="n">
        <v>743625.3199999999</v>
      </c>
      <c r="C29" s="4" t="n">
        <v>359027.11</v>
      </c>
      <c r="D29" s="4" t="n">
        <v>774362.47</v>
      </c>
      <c r="E29" s="4" t="n">
        <v>223793.54</v>
      </c>
    </row>
    <row r="30">
      <c r="A30" s="12" t="inlineStr">
        <is>
          <t>Short Book — Margin Loan 融资(2%)</t>
        </is>
      </c>
      <c r="B30" s="13" t="n">
        <v>14872.51</v>
      </c>
      <c r="C30" s="15" t="n">
        <v>0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7180.54</v>
      </c>
      <c r="D31" s="4" t="n">
        <v>15487.25</v>
      </c>
      <c r="E31" s="4" t="n">
        <v>4475.87</v>
      </c>
    </row>
    <row r="32">
      <c r="A32" s="12" t="inlineStr">
        <is>
          <t>Unallocated Cash 未分配现金</t>
        </is>
      </c>
      <c r="B32" s="15" t="n">
        <v>0</v>
      </c>
      <c r="C32" s="13" t="n">
        <v>357979.14</v>
      </c>
      <c r="D32" s="13" t="n">
        <v>6358.81</v>
      </c>
      <c r="E32" s="13" t="n">
        <v>731463.28</v>
      </c>
    </row>
    <row r="33">
      <c r="A33" s="16" t="inlineStr">
        <is>
          <t>Dual-View NAV 双账户法NAV</t>
        </is>
      </c>
      <c r="B33" s="4" t="n">
        <v>912425.76</v>
      </c>
      <c r="C33" s="4" t="n">
        <v>924735.67</v>
      </c>
      <c r="D33" s="4" t="n">
        <v>1000762.39</v>
      </c>
      <c r="E33" s="4" t="n">
        <v>1054631.2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509488.56</v>
      </c>
      <c r="C39" s="4" t="n">
        <v>582623.64</v>
      </c>
      <c r="D39" s="4" t="n">
        <v>308746.83</v>
      </c>
      <c r="E39" s="4" t="n">
        <v>591431.51</v>
      </c>
    </row>
    <row r="40">
      <c r="A40" s="12" t="inlineStr">
        <is>
          <t>Restricted Cash 受限现金 (PB 102%)</t>
        </is>
      </c>
      <c r="B40" s="13" t="n">
        <v>75535.06</v>
      </c>
      <c r="C40" s="15" t="n">
        <v>0</v>
      </c>
      <c r="D40" s="13" t="n">
        <v>280268.42</v>
      </c>
      <c r="E40" s="15" t="n">
        <v>0</v>
      </c>
    </row>
    <row r="41">
      <c r="A41" s="10" t="inlineStr">
        <is>
          <t>Long Securities 多头证券</t>
        </is>
      </c>
      <c r="B41" s="4" t="n">
        <v>71654</v>
      </c>
      <c r="C41" s="11" t="n">
        <v>0</v>
      </c>
      <c r="D41" s="4" t="n">
        <v>272803.07</v>
      </c>
      <c r="E41" s="11" t="n">
        <v>0</v>
      </c>
    </row>
    <row r="42">
      <c r="A42" s="14" t="inlineStr">
        <is>
          <t>Total Assets 总资产</t>
        </is>
      </c>
      <c r="B42" s="13" t="n">
        <v>656677.62</v>
      </c>
      <c r="C42" s="13" t="n">
        <v>582623.64</v>
      </c>
      <c r="D42" s="13" t="n">
        <v>861818.3100000001</v>
      </c>
      <c r="E42" s="13" t="n">
        <v>591431.51</v>
      </c>
    </row>
    <row r="43">
      <c r="A43" s="10" t="inlineStr">
        <is>
          <t>Short Securities 空头证券 (义务)</t>
        </is>
      </c>
      <c r="B43" s="4" t="n">
        <v>74053.98</v>
      </c>
      <c r="C43" s="11" t="n">
        <v>0</v>
      </c>
      <c r="D43" s="4" t="n">
        <v>274772.96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74053.98</v>
      </c>
      <c r="C45" s="11" t="n">
        <v>0</v>
      </c>
      <c r="D45" s="4" t="n">
        <v>274772.96</v>
      </c>
      <c r="E45" s="11" t="n">
        <v>0</v>
      </c>
    </row>
    <row r="46">
      <c r="A46" s="14" t="inlineStr">
        <is>
          <t>NAV (Equity) 净值 = TA - TL</t>
        </is>
      </c>
      <c r="B46" s="13" t="n">
        <v>582623.64</v>
      </c>
      <c r="C46" s="13" t="n">
        <v>582623.64</v>
      </c>
      <c r="D46" s="13" t="n">
        <v>587045.35</v>
      </c>
      <c r="E46" s="13" t="n">
        <v>591431.51</v>
      </c>
    </row>
    <row r="47">
      <c r="A47" s="10" t="inlineStr">
        <is>
          <t>Gross Leverage 总杠杆 (x)</t>
        </is>
      </c>
      <c r="B47" s="7" t="n">
        <v>0.25</v>
      </c>
      <c r="C47" s="7" t="n">
        <v>0</v>
      </c>
      <c r="D47" s="7" t="n">
        <v>0.9330000000000001</v>
      </c>
      <c r="E47" s="7" t="n">
        <v>0</v>
      </c>
    </row>
    <row r="48">
      <c r="A48" s="12" t="inlineStr">
        <is>
          <t>Net Leverage 净杠杆 (x)</t>
        </is>
      </c>
      <c r="B48" s="17" t="n">
        <v>-0.004</v>
      </c>
      <c r="C48" s="17" t="n">
        <v>0</v>
      </c>
      <c r="D48" s="17" t="n">
        <v>-0.003</v>
      </c>
      <c r="E48" s="17" t="n">
        <v>0</v>
      </c>
    </row>
    <row r="49">
      <c r="A49" s="10" t="inlineStr">
        <is>
          <t>PM Requirement (20%)</t>
        </is>
      </c>
      <c r="B49" s="4" t="n">
        <v>29141.6</v>
      </c>
      <c r="C49" s="11" t="n">
        <v>0</v>
      </c>
      <c r="D49" s="4" t="n">
        <v>109515.21</v>
      </c>
      <c r="E49" s="11" t="n">
        <v>0</v>
      </c>
    </row>
    <row r="50">
      <c r="A50" s="12" t="inlineStr">
        <is>
          <t>Excess Liquidity 超额流动性</t>
        </is>
      </c>
      <c r="B50" s="13" t="n">
        <v>553482.04</v>
      </c>
      <c r="C50" s="13" t="n">
        <v>582623.64</v>
      </c>
      <c r="D50" s="13" t="n">
        <v>477530.14</v>
      </c>
      <c r="E50" s="13" t="n">
        <v>591431.51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71654</v>
      </c>
      <c r="C55" s="11" t="n">
        <v>0</v>
      </c>
      <c r="D55" s="4" t="n">
        <v>272803.07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71654</v>
      </c>
      <c r="C57" s="11" t="n">
        <v>0</v>
      </c>
      <c r="D57" s="4" t="n">
        <v>272803.07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71654</v>
      </c>
      <c r="C59" s="11" t="n">
        <v>0</v>
      </c>
      <c r="D59" s="4" t="n">
        <v>272803.07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1481.08</v>
      </c>
      <c r="C60" s="15" t="n">
        <v>0</v>
      </c>
      <c r="D60" s="13" t="n">
        <v>5495.46</v>
      </c>
      <c r="E60" s="15" t="n">
        <v>0</v>
      </c>
    </row>
    <row r="61">
      <c r="A61" s="10" t="inlineStr">
        <is>
          <t>Short Book — Collateral 担保金</t>
        </is>
      </c>
      <c r="B61" s="4" t="n">
        <v>1481.08</v>
      </c>
      <c r="C61" s="11" t="n">
        <v>0</v>
      </c>
      <c r="D61" s="4" t="n">
        <v>5495.46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74053.98</v>
      </c>
      <c r="C62" s="15" t="n">
        <v>0</v>
      </c>
      <c r="D62" s="13" t="n">
        <v>274772.96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74053.98</v>
      </c>
      <c r="C63" s="11" t="n">
        <v>0</v>
      </c>
      <c r="D63" s="4" t="n">
        <v>274772.96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1481.08</v>
      </c>
      <c r="C65" s="11" t="n">
        <v>0</v>
      </c>
      <c r="D65" s="4" t="n">
        <v>5495.46</v>
      </c>
      <c r="E65" s="11" t="n">
        <v>0</v>
      </c>
    </row>
    <row r="66">
      <c r="A66" s="12" t="inlineStr">
        <is>
          <t>Unallocated Cash 未分配现金</t>
        </is>
      </c>
      <c r="B66" s="13" t="n">
        <v>509488.56</v>
      </c>
      <c r="C66" s="13" t="n">
        <v>582623.64</v>
      </c>
      <c r="D66" s="13" t="n">
        <v>308746.83</v>
      </c>
      <c r="E66" s="13" t="n">
        <v>591431.51</v>
      </c>
    </row>
    <row r="67">
      <c r="A67" s="16" t="inlineStr">
        <is>
          <t>Dual-View NAV 双账户法NAV</t>
        </is>
      </c>
      <c r="B67" s="4" t="n">
        <v>582623.64</v>
      </c>
      <c r="C67" s="4" t="n">
        <v>582623.64</v>
      </c>
      <c r="D67" s="4" t="n">
        <v>587045.35</v>
      </c>
      <c r="E67" s="4" t="n">
        <v>591431.51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140031.77</v>
      </c>
    </row>
    <row r="74">
      <c r="A74" s="12" t="inlineStr">
        <is>
          <t>Restricted Cash 受限现金 (PB 102%)</t>
        </is>
      </c>
      <c r="B74" s="13" t="n">
        <v>682962.77</v>
      </c>
      <c r="C74" s="13" t="n">
        <v>366207.65</v>
      </c>
      <c r="D74" s="13" t="n">
        <v>509581.3</v>
      </c>
      <c r="E74" s="13" t="n">
        <v>228269.41</v>
      </c>
    </row>
    <row r="75">
      <c r="A75" s="10" t="inlineStr">
        <is>
          <t>Long Securities 多头证券</t>
        </is>
      </c>
      <c r="B75" s="4" t="n">
        <v>886219.5</v>
      </c>
      <c r="C75" s="4" t="n">
        <v>559575.99</v>
      </c>
      <c r="D75" s="4" t="n">
        <v>706113.27</v>
      </c>
      <c r="E75" s="4" t="n">
        <v>318692.05</v>
      </c>
    </row>
    <row r="76">
      <c r="A76" s="14" t="inlineStr">
        <is>
          <t>Total Assets 总资产</t>
        </is>
      </c>
      <c r="B76" s="13" t="n">
        <v>1569182.27</v>
      </c>
      <c r="C76" s="13" t="n">
        <v>925783.64</v>
      </c>
      <c r="D76" s="13" t="n">
        <v>1215694.57</v>
      </c>
      <c r="E76" s="13" t="n">
        <v>686993.23</v>
      </c>
    </row>
    <row r="77">
      <c r="A77" s="10" t="inlineStr">
        <is>
          <t>Short Securities 空头证券 (义务)</t>
        </is>
      </c>
      <c r="B77" s="4" t="n">
        <v>669571.34</v>
      </c>
      <c r="C77" s="4" t="n">
        <v>359027.11</v>
      </c>
      <c r="D77" s="4" t="n">
        <v>499589.51</v>
      </c>
      <c r="E77" s="4" t="n">
        <v>223793.54</v>
      </c>
    </row>
    <row r="78">
      <c r="A78" s="12" t="inlineStr">
        <is>
          <t>Margin Loan 保证金借款</t>
        </is>
      </c>
      <c r="B78" s="13" t="n">
        <v>569808.8199999999</v>
      </c>
      <c r="C78" s="13" t="n">
        <v>224644.5</v>
      </c>
      <c r="D78" s="13" t="n">
        <v>302388.02</v>
      </c>
      <c r="E78" s="15" t="n">
        <v>0</v>
      </c>
    </row>
    <row r="79">
      <c r="A79" s="16" t="inlineStr">
        <is>
          <t>Total Liabilities 总负债</t>
        </is>
      </c>
      <c r="B79" s="4" t="n">
        <v>1239380.16</v>
      </c>
      <c r="C79" s="4" t="n">
        <v>583671.61</v>
      </c>
      <c r="D79" s="4" t="n">
        <v>801977.53</v>
      </c>
      <c r="E79" s="4" t="n">
        <v>223793.54</v>
      </c>
    </row>
    <row r="80">
      <c r="A80" s="14" t="inlineStr">
        <is>
          <t>NAV (Equity) 净值 = TA - TL</t>
        </is>
      </c>
      <c r="B80" s="13" t="n">
        <v>329802.11</v>
      </c>
      <c r="C80" s="13" t="n">
        <v>342112.03</v>
      </c>
      <c r="D80" s="13" t="n">
        <v>413717.04</v>
      </c>
      <c r="E80" s="13" t="n">
        <v>463199.69</v>
      </c>
    </row>
    <row r="81">
      <c r="A81" s="10" t="inlineStr">
        <is>
          <t>Gross Leverage 总杠杆 (x)</t>
        </is>
      </c>
      <c r="B81" s="7" t="n">
        <v>4.717</v>
      </c>
      <c r="C81" s="7" t="n">
        <v>2.685</v>
      </c>
      <c r="D81" s="7" t="n">
        <v>2.914</v>
      </c>
      <c r="E81" s="7" t="n">
        <v>1.171</v>
      </c>
    </row>
    <row r="82">
      <c r="A82" s="12" t="inlineStr">
        <is>
          <t>Net Leverage 净杠杆 (x)</t>
        </is>
      </c>
      <c r="B82" s="17" t="n">
        <v>0.657</v>
      </c>
      <c r="C82" s="17" t="n">
        <v>0.586</v>
      </c>
      <c r="D82" s="17" t="n">
        <v>0.499</v>
      </c>
      <c r="E82" s="17" t="n">
        <v>0.205</v>
      </c>
    </row>
    <row r="83">
      <c r="A83" s="10" t="inlineStr">
        <is>
          <t>PM Requirement (20%)</t>
        </is>
      </c>
      <c r="B83" s="4" t="n">
        <v>311158.17</v>
      </c>
      <c r="C83" s="4" t="n">
        <v>183720.62</v>
      </c>
      <c r="D83" s="4" t="n">
        <v>241140.56</v>
      </c>
      <c r="E83" s="4" t="n">
        <v>108497.12</v>
      </c>
    </row>
    <row r="84">
      <c r="A84" s="12" t="inlineStr">
        <is>
          <t>Excess Liquidity 超额流动性</t>
        </is>
      </c>
      <c r="B84" s="13" t="n">
        <v>18643.94</v>
      </c>
      <c r="C84" s="13" t="n">
        <v>158391.41</v>
      </c>
      <c r="D84" s="13" t="n">
        <v>172576.48</v>
      </c>
      <c r="E84" s="13" t="n">
        <v>354702.57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329802.11</v>
      </c>
      <c r="C89" s="4" t="n">
        <v>342112.03</v>
      </c>
      <c r="D89" s="4" t="n">
        <v>413717.04</v>
      </c>
      <c r="E89" s="4" t="n">
        <v>318692.05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886219.5</v>
      </c>
      <c r="C91" s="4" t="n">
        <v>559575.99</v>
      </c>
      <c r="D91" s="4" t="n">
        <v>706113.27</v>
      </c>
      <c r="E91" s="4" t="n">
        <v>318692.05</v>
      </c>
    </row>
    <row r="92">
      <c r="A92" s="12" t="inlineStr">
        <is>
          <t>Long Book — Margin Loan 融资</t>
        </is>
      </c>
      <c r="B92" s="13" t="n">
        <v>556417.39</v>
      </c>
      <c r="C92" s="13" t="n">
        <v>217463.96</v>
      </c>
      <c r="D92" s="13" t="n">
        <v>292396.23</v>
      </c>
      <c r="E92" s="15" t="n">
        <v>0</v>
      </c>
    </row>
    <row r="93">
      <c r="A93" s="16" t="inlineStr">
        <is>
          <t>Long Book — NAV</t>
        </is>
      </c>
      <c r="B93" s="4" t="n">
        <v>329802.11</v>
      </c>
      <c r="C93" s="4" t="n">
        <v>342112.03</v>
      </c>
      <c r="D93" s="4" t="n">
        <v>413717.04</v>
      </c>
      <c r="E93" s="4" t="n">
        <v>318692.05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4475.87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4475.87</v>
      </c>
    </row>
    <row r="96">
      <c r="A96" s="12" t="inlineStr">
        <is>
          <t>Short Book — Short Proceeds 做空收入</t>
        </is>
      </c>
      <c r="B96" s="13" t="n">
        <v>669571.34</v>
      </c>
      <c r="C96" s="13" t="n">
        <v>359027.11</v>
      </c>
      <c r="D96" s="13" t="n">
        <v>499589.51</v>
      </c>
      <c r="E96" s="13" t="n">
        <v>223793.54</v>
      </c>
    </row>
    <row r="97">
      <c r="A97" s="10" t="inlineStr">
        <is>
          <t>Short Book — Market Value 市值(负债)</t>
        </is>
      </c>
      <c r="B97" s="4" t="n">
        <v>669571.34</v>
      </c>
      <c r="C97" s="4" t="n">
        <v>359027.11</v>
      </c>
      <c r="D97" s="4" t="n">
        <v>499589.51</v>
      </c>
      <c r="E97" s="4" t="n">
        <v>223793.54</v>
      </c>
    </row>
    <row r="98">
      <c r="A98" s="12" t="inlineStr">
        <is>
          <t>Short Book — Margin Loan 融资(2%)</t>
        </is>
      </c>
      <c r="B98" s="13" t="n">
        <v>13391.43</v>
      </c>
      <c r="C98" s="13" t="n">
        <v>7180.54</v>
      </c>
      <c r="D98" s="13" t="n">
        <v>9991.790000000001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4475.87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140031.77</v>
      </c>
    </row>
    <row r="101">
      <c r="A101" s="16" t="inlineStr">
        <is>
          <t>Dual-View NAV 双账户法NAV</t>
        </is>
      </c>
      <c r="B101" s="4" t="n">
        <v>329802.11</v>
      </c>
      <c r="C101" s="4" t="n">
        <v>342112.03</v>
      </c>
      <c r="D101" s="4" t="n">
        <v>413717.04</v>
      </c>
      <c r="E101" s="4" t="n">
        <v>463199.69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-12309.91</v>
      </c>
      <c r="C5" s="18" t="n">
        <v>-88336.63</v>
      </c>
      <c r="D5" s="18" t="n">
        <v>-142205.44</v>
      </c>
      <c r="E5" s="18" t="n">
        <v>-9073.030000000001</v>
      </c>
    </row>
    <row r="6">
      <c r="A6" s="12" t="inlineStr">
        <is>
          <t>Interest expense (est)</t>
        </is>
      </c>
      <c r="B6" s="15" t="n">
        <v>8.26</v>
      </c>
      <c r="C6" s="15" t="n">
        <v>41.32</v>
      </c>
      <c r="D6" s="13" t="n">
        <v>173.52</v>
      </c>
      <c r="E6" s="13" t="n">
        <v>1561.72</v>
      </c>
    </row>
    <row r="7">
      <c r="A7" s="10" t="inlineStr">
        <is>
          <t>Current unrealized PnL</t>
        </is>
      </c>
      <c r="B7" s="18" t="n">
        <v>-6237.35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18" t="n">
        <v>-4421.71</v>
      </c>
      <c r="D11" s="18" t="n">
        <v>-8807.870000000001</v>
      </c>
      <c r="E11" s="4" t="n">
        <v>73291.7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-12309.92</v>
      </c>
      <c r="C17" s="18" t="n">
        <v>-83914.92999999999</v>
      </c>
      <c r="D17" s="18" t="n">
        <v>-133397.58</v>
      </c>
      <c r="E17" s="18" t="n">
        <v>-82364.74000000001</v>
      </c>
    </row>
    <row r="18">
      <c r="A18" s="12" t="inlineStr">
        <is>
          <t>Interest expense (est)</t>
        </is>
      </c>
      <c r="B18" s="15" t="n">
        <v>78.06</v>
      </c>
      <c r="C18" s="13" t="n">
        <v>390.28</v>
      </c>
      <c r="D18" s="13" t="n">
        <v>1639.18</v>
      </c>
      <c r="E18" s="13" t="n">
        <v>14752.58</v>
      </c>
    </row>
    <row r="19">
      <c r="A19" s="10" t="inlineStr">
        <is>
          <t>Current unrealized PnL</t>
        </is>
      </c>
      <c r="B19" s="18" t="n">
        <v>-6237.35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924735.67</v>
      </c>
      <c r="C5" s="4" t="n">
        <v>1000762.39</v>
      </c>
      <c r="D5" s="4" t="n">
        <v>1054631.2</v>
      </c>
      <c r="E5" s="4" t="n">
        <v>921498.79</v>
      </c>
    </row>
    <row r="6">
      <c r="A6" s="12" t="inlineStr">
        <is>
          <t>Net income</t>
        </is>
      </c>
      <c r="B6" s="19" t="n">
        <v>-12309.91</v>
      </c>
      <c r="C6" s="19" t="n">
        <v>-88336.63</v>
      </c>
      <c r="D6" s="19" t="n">
        <v>-142205.44</v>
      </c>
      <c r="E6" s="19" t="n">
        <v>-9073.030000000001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912425.76</v>
      </c>
      <c r="C9" s="4" t="n">
        <v>912425.76</v>
      </c>
      <c r="D9" s="4" t="n">
        <v>912425.76</v>
      </c>
      <c r="E9" s="4" t="n">
        <v>912425.76</v>
      </c>
    </row>
    <row r="10">
      <c r="A10" s="12" t="inlineStr">
        <is>
          <t>Return (%)</t>
        </is>
      </c>
      <c r="B10" s="20" t="n">
        <v>-1.33</v>
      </c>
      <c r="C10" s="20" t="n">
        <v>-8.83</v>
      </c>
      <c r="D10" s="20" t="n">
        <v>-13.48</v>
      </c>
      <c r="E10" s="20" t="n">
        <v>-0.98</v>
      </c>
    </row>
    <row r="11">
      <c r="A11" s="10" t="inlineStr">
        <is>
          <t>Max drawdown (%)</t>
        </is>
      </c>
      <c r="B11" s="21" t="n">
        <v>-1.33</v>
      </c>
      <c r="C11" s="21" t="n">
        <v>-8.83</v>
      </c>
      <c r="D11" s="21" t="n">
        <v>-15.73</v>
      </c>
      <c r="E11" s="21" t="n">
        <v>-23.96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582623.64</v>
      </c>
      <c r="C15" s="4" t="n">
        <v>587045.35</v>
      </c>
      <c r="D15" s="4" t="n">
        <v>591431.51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9" t="n">
        <v>-4421.71</v>
      </c>
      <c r="D16" s="19" t="n">
        <v>-8807.870000000001</v>
      </c>
      <c r="E16" s="13" t="n">
        <v>73291.7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582623.64</v>
      </c>
      <c r="C19" s="4" t="n">
        <v>582623.64</v>
      </c>
      <c r="D19" s="4" t="n">
        <v>582623.64</v>
      </c>
      <c r="E19" s="4" t="n">
        <v>582623.64</v>
      </c>
    </row>
    <row r="20">
      <c r="A20" s="12" t="inlineStr">
        <is>
          <t>Return (%)</t>
        </is>
      </c>
      <c r="B20" s="22" t="n">
        <v>0</v>
      </c>
      <c r="C20" s="20" t="n">
        <v>-0.75</v>
      </c>
      <c r="D20" s="20" t="n">
        <v>-1.49</v>
      </c>
      <c r="E20" s="22" t="n">
        <v>14.39</v>
      </c>
    </row>
    <row r="21">
      <c r="A21" s="10" t="inlineStr">
        <is>
          <t>Max drawdown (%)</t>
        </is>
      </c>
      <c r="B21" s="23" t="n">
        <v>0</v>
      </c>
      <c r="C21" s="21" t="n">
        <v>-1.3</v>
      </c>
      <c r="D21" s="21" t="n">
        <v>-2.9</v>
      </c>
      <c r="E21" s="21" t="n">
        <v>-10.91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342112.03</v>
      </c>
      <c r="C25" s="4" t="n">
        <v>413717.04</v>
      </c>
      <c r="D25" s="4" t="n">
        <v>463199.69</v>
      </c>
      <c r="E25" s="4" t="n">
        <v>412166.85</v>
      </c>
    </row>
    <row r="26">
      <c r="A26" s="12" t="inlineStr">
        <is>
          <t>Net income</t>
        </is>
      </c>
      <c r="B26" s="19" t="n">
        <v>-12309.92</v>
      </c>
      <c r="C26" s="19" t="n">
        <v>-83914.92999999999</v>
      </c>
      <c r="D26" s="19" t="n">
        <v>-133397.58</v>
      </c>
      <c r="E26" s="19" t="n">
        <v>-82364.74000000001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329802.11</v>
      </c>
      <c r="C29" s="4" t="n">
        <v>329802.11</v>
      </c>
      <c r="D29" s="4" t="n">
        <v>329802.11</v>
      </c>
      <c r="E29" s="4" t="n">
        <v>329802.11</v>
      </c>
    </row>
    <row r="30">
      <c r="A30" s="12" t="inlineStr">
        <is>
          <t>Return (%)</t>
        </is>
      </c>
      <c r="B30" s="20" t="n">
        <v>-3.6</v>
      </c>
      <c r="C30" s="20" t="n">
        <v>-20.28</v>
      </c>
      <c r="D30" s="20" t="n">
        <v>-28.8</v>
      </c>
      <c r="E30" s="20" t="n">
        <v>-19.98</v>
      </c>
    </row>
    <row r="31">
      <c r="A31" s="10" t="inlineStr">
        <is>
          <t>Max drawdown (%)</t>
        </is>
      </c>
      <c r="B31" s="21" t="n">
        <v>-3.6</v>
      </c>
      <c r="C31" s="21" t="n">
        <v>-20.28</v>
      </c>
      <c r="D31" s="21" t="n">
        <v>-32.87</v>
      </c>
      <c r="E31" s="21" t="n">
        <v>-44.68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-88336.63</v>
      </c>
    </row>
    <row r="5">
      <c r="A5" s="3" t="inlineStr">
        <is>
          <t>Investing cash flow</t>
        </is>
      </c>
      <c r="B5" s="18" t="n">
        <v>-9694.309999999999</v>
      </c>
    </row>
    <row r="6">
      <c r="A6" s="3" t="inlineStr">
        <is>
          <t>Financing cash flow</t>
        </is>
      </c>
      <c r="B6" s="4" t="n">
        <v>60320.25</v>
      </c>
    </row>
    <row r="7">
      <c r="A7" s="3" t="inlineStr">
        <is>
          <t>Net change in cash</t>
        </is>
      </c>
      <c r="B7" s="18" t="n">
        <v>-37710.69</v>
      </c>
    </row>
    <row r="8">
      <c r="A8" s="3" t="inlineStr">
        <is>
          <t>Beginning cash</t>
        </is>
      </c>
      <c r="B8" s="4" t="n">
        <v>6358.81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1011562.82</v>
      </c>
    </row>
    <row r="97">
      <c r="A97" s="12" t="inlineStr">
        <is>
          <t>2026-03-20</t>
        </is>
      </c>
      <c r="B97" s="13" t="n">
        <v>1026474.04</v>
      </c>
    </row>
    <row r="98">
      <c r="A98" s="10" t="inlineStr">
        <is>
          <t>2026-03-23</t>
        </is>
      </c>
      <c r="B98" s="4" t="n">
        <v>1027693.06</v>
      </c>
    </row>
    <row r="99">
      <c r="A99" s="12" t="inlineStr">
        <is>
          <t>2026-03-24</t>
        </is>
      </c>
      <c r="B99" s="13" t="n">
        <v>1014955.49</v>
      </c>
    </row>
    <row r="100">
      <c r="A100" s="10" t="inlineStr">
        <is>
          <t>2026-03-25</t>
        </is>
      </c>
      <c r="B100" s="4" t="n">
        <v>1002524.82</v>
      </c>
    </row>
    <row r="101">
      <c r="A101" s="12" t="inlineStr">
        <is>
          <t>2026-03-26</t>
        </is>
      </c>
      <c r="B101" s="13" t="n">
        <v>1012439.76</v>
      </c>
    </row>
    <row r="102">
      <c r="A102" s="10" t="inlineStr">
        <is>
          <t>2026-03-27</t>
        </is>
      </c>
      <c r="B102" s="4" t="n">
        <v>1025608.45</v>
      </c>
    </row>
    <row r="103">
      <c r="A103" s="12" t="inlineStr">
        <is>
          <t>2026-03-30</t>
        </is>
      </c>
      <c r="B103" s="13" t="n">
        <v>1051146.76</v>
      </c>
    </row>
    <row r="104">
      <c r="A104" s="10" t="inlineStr">
        <is>
          <t>2026-03-31</t>
        </is>
      </c>
      <c r="B104" s="4" t="n">
        <v>1048449.51</v>
      </c>
    </row>
    <row r="105">
      <c r="A105" s="12" t="inlineStr">
        <is>
          <t>2026-04-01</t>
        </is>
      </c>
      <c r="B105" s="13" t="n">
        <v>1047759.47</v>
      </c>
    </row>
    <row r="106">
      <c r="A106" s="10" t="inlineStr">
        <is>
          <t>2026-04-02</t>
        </is>
      </c>
      <c r="B106" s="4" t="n">
        <v>1047763.95</v>
      </c>
    </row>
    <row r="107">
      <c r="A107" s="12" t="inlineStr">
        <is>
          <t>2026-04-03</t>
        </is>
      </c>
      <c r="B107" s="13" t="n">
        <v>1041956.45</v>
      </c>
    </row>
    <row r="108">
      <c r="A108" s="10" t="inlineStr">
        <is>
          <t>2026-04-06</t>
        </is>
      </c>
      <c r="B108" s="4" t="n">
        <v>1047667.31</v>
      </c>
    </row>
    <row r="109">
      <c r="A109" s="12" t="inlineStr">
        <is>
          <t>2026-04-07</t>
        </is>
      </c>
      <c r="B109" s="13" t="n">
        <v>1041742.23</v>
      </c>
    </row>
    <row r="110">
      <c r="A110" s="10" t="inlineStr">
        <is>
          <t>2026-04-08</t>
        </is>
      </c>
      <c r="B110" s="4" t="n">
        <v>1043037.32</v>
      </c>
    </row>
    <row r="111">
      <c r="A111" s="12" t="inlineStr">
        <is>
          <t>2026-04-09</t>
        </is>
      </c>
      <c r="B111" s="13" t="n">
        <v>1069205.67</v>
      </c>
    </row>
    <row r="112">
      <c r="A112" s="10" t="inlineStr">
        <is>
          <t>2026-04-10</t>
        </is>
      </c>
      <c r="B112" s="4" t="n">
        <v>1060578.64</v>
      </c>
    </row>
    <row r="113">
      <c r="A113" s="12" t="inlineStr">
        <is>
          <t>2026-04-13</t>
        </is>
      </c>
      <c r="B113" s="13" t="n">
        <v>1074682.27</v>
      </c>
    </row>
    <row r="114">
      <c r="A114" s="10" t="inlineStr">
        <is>
          <t>2026-04-14</t>
        </is>
      </c>
      <c r="B114" s="4" t="n">
        <v>1080701.07</v>
      </c>
    </row>
    <row r="115">
      <c r="A115" s="12" t="inlineStr">
        <is>
          <t>2026-04-15</t>
        </is>
      </c>
      <c r="B115" s="13" t="n">
        <v>1087550.59</v>
      </c>
    </row>
    <row r="116">
      <c r="A116" s="10" t="inlineStr">
        <is>
          <t>2026-04-16</t>
        </is>
      </c>
      <c r="B116" s="4" t="n">
        <v>1071443.26</v>
      </c>
    </row>
    <row r="117">
      <c r="A117" s="12" t="inlineStr">
        <is>
          <t>2026-04-17</t>
        </is>
      </c>
      <c r="B117" s="13" t="n">
        <v>1065597.49</v>
      </c>
    </row>
    <row r="118">
      <c r="A118" s="10" t="inlineStr">
        <is>
          <t>2026-04-20</t>
        </is>
      </c>
      <c r="B118" s="4" t="n">
        <v>1081237.94</v>
      </c>
    </row>
    <row r="119">
      <c r="A119" s="12" t="inlineStr">
        <is>
          <t>2026-04-21</t>
        </is>
      </c>
      <c r="B119" s="13" t="n">
        <v>1076667.7</v>
      </c>
    </row>
    <row r="120">
      <c r="A120" s="10" t="inlineStr">
        <is>
          <t>2026-04-22</t>
        </is>
      </c>
      <c r="B120" s="4" t="n">
        <v>1072304.47</v>
      </c>
    </row>
    <row r="121">
      <c r="A121" s="12" t="inlineStr">
        <is>
          <t>2026-04-23</t>
        </is>
      </c>
      <c r="B121" s="13" t="n">
        <v>1075312.85</v>
      </c>
    </row>
    <row r="122">
      <c r="A122" s="10" t="inlineStr">
        <is>
          <t>2026-04-24</t>
        </is>
      </c>
      <c r="B122" s="4" t="n">
        <v>1075834.3</v>
      </c>
    </row>
    <row r="123">
      <c r="A123" s="12" t="inlineStr">
        <is>
          <t>2026-04-27</t>
        </is>
      </c>
      <c r="B123" s="13" t="n">
        <v>1086361.59</v>
      </c>
    </row>
    <row r="124">
      <c r="A124" s="10" t="inlineStr">
        <is>
          <t>2026-04-28</t>
        </is>
      </c>
      <c r="B124" s="4" t="n">
        <v>1087296.71</v>
      </c>
    </row>
    <row r="125">
      <c r="A125" s="12" t="inlineStr">
        <is>
          <t>2026-04-29</t>
        </is>
      </c>
      <c r="B125" s="13" t="n">
        <v>1094390.73</v>
      </c>
    </row>
    <row r="126">
      <c r="A126" s="10" t="inlineStr">
        <is>
          <t>2026-04-30</t>
        </is>
      </c>
      <c r="B126" s="4" t="n">
        <v>1094676.74</v>
      </c>
    </row>
    <row r="127">
      <c r="A127" s="12" t="inlineStr">
        <is>
          <t>2026-05-01</t>
        </is>
      </c>
      <c r="B127" s="13" t="n">
        <v>1057085.59</v>
      </c>
    </row>
    <row r="128">
      <c r="A128" s="10" t="inlineStr">
        <is>
          <t>2026-05-04</t>
        </is>
      </c>
      <c r="B128" s="4" t="n">
        <v>1053355.83</v>
      </c>
    </row>
    <row r="129">
      <c r="A129" s="12" t="inlineStr">
        <is>
          <t>2026-05-05</t>
        </is>
      </c>
      <c r="B129" s="13" t="n">
        <v>1047545.35</v>
      </c>
    </row>
    <row r="130">
      <c r="A130" s="10" t="inlineStr">
        <is>
          <t>2026-05-06</t>
        </is>
      </c>
      <c r="B130" s="4" t="n">
        <v>1035862.73</v>
      </c>
    </row>
    <row r="131">
      <c r="A131" s="12" t="inlineStr">
        <is>
          <t>2026-05-07</t>
        </is>
      </c>
      <c r="B131" s="13" t="n">
        <v>1042729.61</v>
      </c>
    </row>
    <row r="132">
      <c r="A132" s="10" t="inlineStr">
        <is>
          <t>2026-05-08</t>
        </is>
      </c>
      <c r="B132" s="4" t="n">
        <v>1040420.05</v>
      </c>
    </row>
    <row r="133">
      <c r="A133" s="12" t="inlineStr">
        <is>
          <t>2026-05-11</t>
        </is>
      </c>
      <c r="B133" s="13" t="n">
        <v>1021770.42</v>
      </c>
    </row>
    <row r="134">
      <c r="A134" s="10" t="inlineStr">
        <is>
          <t>2026-05-12</t>
        </is>
      </c>
      <c r="B134" s="4" t="n">
        <v>1016156.2</v>
      </c>
    </row>
    <row r="135">
      <c r="A135" s="12" t="inlineStr">
        <is>
          <t>2026-05-13</t>
        </is>
      </c>
      <c r="B135" s="13" t="n">
        <v>1000791.61</v>
      </c>
    </row>
    <row r="136">
      <c r="A136" s="10" t="inlineStr">
        <is>
          <t>2026-05-14</t>
        </is>
      </c>
      <c r="B136" s="4" t="n">
        <v>1013480.52</v>
      </c>
    </row>
    <row r="137">
      <c r="A137" s="12" t="inlineStr">
        <is>
          <t>2026-05-15</t>
        </is>
      </c>
      <c r="B137" s="13" t="n">
        <v>1016786.06</v>
      </c>
    </row>
    <row r="138">
      <c r="A138" s="10" t="inlineStr">
        <is>
          <t>2026-05-18</t>
        </is>
      </c>
      <c r="B138" s="4" t="n">
        <v>1014111.09</v>
      </c>
    </row>
    <row r="139">
      <c r="A139" s="12" t="inlineStr">
        <is>
          <t>2026-05-19</t>
        </is>
      </c>
      <c r="B139" s="13" t="n">
        <v>1000413.09</v>
      </c>
    </row>
    <row r="140">
      <c r="A140" s="10" t="inlineStr">
        <is>
          <t>2026-05-20</t>
        </is>
      </c>
      <c r="B140" s="4" t="n">
        <v>1015610.82</v>
      </c>
    </row>
    <row r="141">
      <c r="A141" s="12" t="inlineStr">
        <is>
          <t>2026-05-21</t>
        </is>
      </c>
      <c r="B141" s="13" t="n">
        <v>1024932.73</v>
      </c>
    </row>
    <row r="142">
      <c r="A142" s="10" t="inlineStr">
        <is>
          <t>2026-05-22</t>
        </is>
      </c>
      <c r="B142" s="4" t="n">
        <v>1024733.98</v>
      </c>
    </row>
    <row r="143">
      <c r="A143" s="12" t="inlineStr">
        <is>
          <t>2026-05-25</t>
        </is>
      </c>
      <c r="B143" s="13" t="n">
        <v>998912.0699999999</v>
      </c>
    </row>
    <row r="144">
      <c r="A144" s="10" t="inlineStr">
        <is>
          <t>2026-05-26</t>
        </is>
      </c>
      <c r="B144" s="4" t="n">
        <v>1017168.28</v>
      </c>
    </row>
    <row r="145">
      <c r="A145" s="12" t="inlineStr">
        <is>
          <t>2026-05-27</t>
        </is>
      </c>
      <c r="B145" s="13" t="n">
        <v>999133.11</v>
      </c>
    </row>
    <row r="146">
      <c r="A146" s="10" t="inlineStr">
        <is>
          <t>2026-05-28</t>
        </is>
      </c>
      <c r="B146" s="4" t="n">
        <v>993453.61</v>
      </c>
    </row>
    <row r="147">
      <c r="A147" s="12" t="inlineStr">
        <is>
          <t>2026-05-29</t>
        </is>
      </c>
      <c r="B147" s="13" t="n">
        <v>991742.85</v>
      </c>
    </row>
    <row r="148">
      <c r="A148" s="10" t="inlineStr">
        <is>
          <t>2026-06-01</t>
        </is>
      </c>
      <c r="B148" s="4" t="n">
        <v>1006814.11</v>
      </c>
    </row>
    <row r="149">
      <c r="A149" s="12" t="inlineStr">
        <is>
          <t>2026-06-02</t>
        </is>
      </c>
      <c r="B149" s="13" t="n">
        <v>1097059.63</v>
      </c>
    </row>
    <row r="150">
      <c r="A150" s="10" t="inlineStr">
        <is>
          <t>2026-06-03</t>
        </is>
      </c>
      <c r="B150" s="4" t="n">
        <v>1105461.11</v>
      </c>
    </row>
    <row r="151">
      <c r="A151" s="12" t="inlineStr">
        <is>
          <t>2026-06-04</t>
        </is>
      </c>
      <c r="B151" s="13" t="n">
        <v>1108395.09</v>
      </c>
    </row>
    <row r="152">
      <c r="A152" s="10" t="inlineStr">
        <is>
          <t>2026-06-05</t>
        </is>
      </c>
      <c r="B152" s="4" t="n">
        <v>1008386.88</v>
      </c>
    </row>
    <row r="153">
      <c r="A153" s="12" t="inlineStr">
        <is>
          <t>2026-06-08</t>
        </is>
      </c>
      <c r="B153" s="13" t="n">
        <v>1062136.86</v>
      </c>
    </row>
    <row r="154">
      <c r="A154" s="10" t="inlineStr">
        <is>
          <t>2026-06-09</t>
        </is>
      </c>
      <c r="B154" s="4" t="n">
        <v>1054299.79</v>
      </c>
    </row>
    <row r="155">
      <c r="A155" s="12" t="inlineStr">
        <is>
          <t>2026-06-10</t>
        </is>
      </c>
      <c r="B155" s="13" t="n">
        <v>1053079.82</v>
      </c>
    </row>
    <row r="156">
      <c r="A156" s="10" t="inlineStr">
        <is>
          <t>2026-06-11</t>
        </is>
      </c>
      <c r="B156" s="4" t="n">
        <v>1130581.21</v>
      </c>
    </row>
    <row r="157">
      <c r="A157" s="12" t="inlineStr">
        <is>
          <t>2026-06-12</t>
        </is>
      </c>
      <c r="B157" s="13" t="n">
        <v>1142379.27</v>
      </c>
    </row>
    <row r="158">
      <c r="A158" s="10" t="inlineStr">
        <is>
          <t>2026-06-15</t>
        </is>
      </c>
      <c r="B158" s="4" t="n">
        <v>1142937.86</v>
      </c>
    </row>
    <row r="159">
      <c r="A159" s="12" t="inlineStr">
        <is>
          <t>2026-06-16</t>
        </is>
      </c>
      <c r="B159" s="13" t="n">
        <v>1111621.54</v>
      </c>
    </row>
    <row r="160">
      <c r="A160" s="10" t="inlineStr">
        <is>
          <t>2026-06-17</t>
        </is>
      </c>
      <c r="B160" s="4" t="n">
        <v>1121361.57</v>
      </c>
    </row>
    <row r="161">
      <c r="A161" s="12" t="inlineStr">
        <is>
          <t>2026-06-18</t>
        </is>
      </c>
      <c r="B161" s="13" t="n">
        <v>1137677.08</v>
      </c>
    </row>
    <row r="162">
      <c r="A162" s="10" t="inlineStr">
        <is>
          <t>2026-06-19</t>
        </is>
      </c>
      <c r="B162" s="4" t="n">
        <v>1096664.39</v>
      </c>
    </row>
    <row r="163">
      <c r="A163" s="12" t="inlineStr">
        <is>
          <t>2026-06-22</t>
        </is>
      </c>
      <c r="B163" s="13" t="n">
        <v>1153159.14</v>
      </c>
    </row>
    <row r="164">
      <c r="A164" s="10" t="inlineStr">
        <is>
          <t>2026-06-23</t>
        </is>
      </c>
      <c r="B164" s="4" t="n">
        <v>1130813.26</v>
      </c>
    </row>
    <row r="165">
      <c r="A165" s="12" t="inlineStr">
        <is>
          <t>2026-06-24</t>
        </is>
      </c>
      <c r="B165" s="13" t="n">
        <v>1102642</v>
      </c>
    </row>
    <row r="166">
      <c r="A166" s="10" t="inlineStr">
        <is>
          <t>2026-06-25</t>
        </is>
      </c>
      <c r="B166" s="4" t="n">
        <v>1121193.69</v>
      </c>
    </row>
    <row r="167">
      <c r="A167" s="12" t="inlineStr">
        <is>
          <t>2026-06-26</t>
        </is>
      </c>
      <c r="B167" s="13" t="n">
        <v>1132628.22</v>
      </c>
    </row>
    <row r="168">
      <c r="A168" s="10" t="inlineStr">
        <is>
          <t>2026-06-29</t>
        </is>
      </c>
      <c r="B168" s="4" t="n">
        <v>1195298.72</v>
      </c>
    </row>
    <row r="169">
      <c r="A169" s="12" t="inlineStr">
        <is>
          <t>2026-06-30</t>
        </is>
      </c>
      <c r="B169" s="13" t="n">
        <v>1199886.92</v>
      </c>
    </row>
    <row r="170">
      <c r="A170" s="10" t="inlineStr">
        <is>
          <t>2026-07-01</t>
        </is>
      </c>
      <c r="B170" s="4" t="n">
        <v>1111422.01</v>
      </c>
    </row>
    <row r="171">
      <c r="A171" s="12" t="inlineStr">
        <is>
          <t>2026-07-02</t>
        </is>
      </c>
      <c r="B171" s="13" t="n">
        <v>1054631.2</v>
      </c>
    </row>
    <row r="172">
      <c r="A172" s="10" t="inlineStr">
        <is>
          <t>2026-07-03</t>
        </is>
      </c>
      <c r="B172" s="4" t="n">
        <v>1082704.14</v>
      </c>
    </row>
    <row r="173">
      <c r="A173" s="12" t="inlineStr">
        <is>
          <t>2026-07-06</t>
        </is>
      </c>
      <c r="B173" s="13" t="n">
        <v>1045568.73</v>
      </c>
    </row>
    <row r="174">
      <c r="A174" s="10" t="inlineStr">
        <is>
          <t>2026-07-07</t>
        </is>
      </c>
      <c r="B174" s="4" t="n">
        <v>1043787.5</v>
      </c>
    </row>
    <row r="175">
      <c r="A175" s="12" t="inlineStr">
        <is>
          <t>2026-07-08</t>
        </is>
      </c>
      <c r="B175" s="13" t="n">
        <v>1028220.01</v>
      </c>
    </row>
    <row r="176">
      <c r="A176" s="10" t="inlineStr">
        <is>
          <t>2026-07-09</t>
        </is>
      </c>
      <c r="B176" s="4" t="n">
        <v>1038020.57</v>
      </c>
    </row>
    <row r="177">
      <c r="A177" s="12" t="inlineStr">
        <is>
          <t>2026-07-10</t>
        </is>
      </c>
      <c r="B177" s="13" t="n">
        <v>1036036.56</v>
      </c>
    </row>
    <row r="178">
      <c r="A178" s="10" t="inlineStr">
        <is>
          <t>2026-07-13</t>
        </is>
      </c>
      <c r="B178" s="4" t="n">
        <v>1032255.94</v>
      </c>
    </row>
    <row r="179">
      <c r="A179" s="12" t="inlineStr">
        <is>
          <t>2026-07-14</t>
        </is>
      </c>
      <c r="B179" s="13" t="n">
        <v>1039008.38</v>
      </c>
    </row>
    <row r="180">
      <c r="A180" s="10" t="inlineStr">
        <is>
          <t>2026-07-15</t>
        </is>
      </c>
      <c r="B180" s="4" t="n">
        <v>1044820.84</v>
      </c>
    </row>
    <row r="181">
      <c r="A181" s="12" t="inlineStr">
        <is>
          <t>2026-07-16</t>
        </is>
      </c>
      <c r="B181" s="13" t="n">
        <v>1028793.41</v>
      </c>
    </row>
    <row r="182">
      <c r="A182" s="10" t="inlineStr">
        <is>
          <t>2026-07-17</t>
        </is>
      </c>
      <c r="B182" s="4" t="n">
        <v>1029129.88</v>
      </c>
    </row>
    <row r="183">
      <c r="A183" s="12" t="inlineStr">
        <is>
          <t>2026-07-20</t>
        </is>
      </c>
      <c r="B183" s="13" t="n">
        <v>1031654.31</v>
      </c>
    </row>
    <row r="184">
      <c r="A184" s="10" t="inlineStr">
        <is>
          <t>2026-07-21</t>
        </is>
      </c>
      <c r="B184" s="4" t="n">
        <v>1032022.12</v>
      </c>
    </row>
    <row r="185">
      <c r="A185" s="12" t="inlineStr">
        <is>
          <t>2026-07-22</t>
        </is>
      </c>
      <c r="B185" s="13" t="n">
        <v>1033557.57</v>
      </c>
    </row>
    <row r="186">
      <c r="A186" s="10" t="inlineStr">
        <is>
          <t>2026-07-23</t>
        </is>
      </c>
      <c r="B186" s="4" t="n">
        <v>1018301.58</v>
      </c>
    </row>
    <row r="187">
      <c r="A187" s="12" t="inlineStr">
        <is>
          <t>2026-07-24</t>
        </is>
      </c>
      <c r="B187" s="13" t="n">
        <v>1000762.39</v>
      </c>
    </row>
    <row r="188">
      <c r="A188" s="10" t="inlineStr">
        <is>
          <t>2026-07-27</t>
        </is>
      </c>
      <c r="B188" s="4" t="n">
        <v>986795.54</v>
      </c>
    </row>
    <row r="189">
      <c r="A189" s="12" t="inlineStr">
        <is>
          <t>2026-07-28</t>
        </is>
      </c>
      <c r="B189" s="13" t="n">
        <v>957483.78</v>
      </c>
    </row>
    <row r="190">
      <c r="A190" s="10" t="inlineStr">
        <is>
          <t>2026-07-29</t>
        </is>
      </c>
      <c r="B190" s="4" t="n">
        <v>925990.04</v>
      </c>
    </row>
    <row r="191">
      <c r="A191" s="12" t="inlineStr">
        <is>
          <t>2026-07-30</t>
        </is>
      </c>
      <c r="B191" s="13" t="n">
        <v>924735.67</v>
      </c>
    </row>
    <row r="192">
      <c r="A192" s="10" t="inlineStr">
        <is>
          <t>2026-07-31</t>
        </is>
      </c>
      <c r="B192" s="4" t="n">
        <v>912425.76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912425.76</v>
      </c>
      <c r="C4" s="4" t="n">
        <v>957873.5</v>
      </c>
      <c r="D4" s="4" t="n">
        <v>743625.3199999999</v>
      </c>
      <c r="E4" s="4" t="n">
        <v>1701498.82</v>
      </c>
      <c r="F4" s="4" t="n">
        <v>214248.18</v>
      </c>
      <c r="G4" s="5" t="n">
        <v>1.865</v>
      </c>
      <c r="H4" s="5" t="n">
        <v>0.235</v>
      </c>
      <c r="I4" s="5" t="n">
        <v>186.48</v>
      </c>
      <c r="J4" s="5" t="n">
        <v>93.23999999999999</v>
      </c>
      <c r="K4" s="24" t="n">
        <v>7</v>
      </c>
    </row>
    <row r="5">
      <c r="A5" s="12" t="inlineStr">
        <is>
          <t>MRPT</t>
        </is>
      </c>
      <c r="B5" s="13" t="n">
        <v>582623.64</v>
      </c>
      <c r="C5" s="13" t="n">
        <v>71654</v>
      </c>
      <c r="D5" s="13" t="n">
        <v>74053.98</v>
      </c>
      <c r="E5" s="13" t="n">
        <v>145707.98</v>
      </c>
      <c r="F5" s="19" t="n">
        <v>-2399.98</v>
      </c>
      <c r="G5" s="25" t="n">
        <v>0.25</v>
      </c>
      <c r="H5" s="25" t="n">
        <v>-0.004</v>
      </c>
      <c r="I5" s="25" t="n">
        <v>25.01</v>
      </c>
      <c r="J5" s="25" t="n">
        <v>12.5</v>
      </c>
      <c r="K5" s="26" t="n">
        <v>1</v>
      </c>
    </row>
    <row r="6">
      <c r="A6" s="10" t="inlineStr">
        <is>
          <t>MTFS</t>
        </is>
      </c>
      <c r="B6" s="4" t="n">
        <v>329802.11</v>
      </c>
      <c r="C6" s="4" t="n">
        <v>886219.5</v>
      </c>
      <c r="D6" s="4" t="n">
        <v>669571.34</v>
      </c>
      <c r="E6" s="4" t="n">
        <v>1555790.84</v>
      </c>
      <c r="F6" s="4" t="n">
        <v>216648.16</v>
      </c>
      <c r="G6" s="5" t="n">
        <v>4.717</v>
      </c>
      <c r="H6" s="5" t="n">
        <v>0.657</v>
      </c>
      <c r="I6" s="5" t="n">
        <v>471.73</v>
      </c>
      <c r="J6" s="5" t="n">
        <v>235.87</v>
      </c>
      <c r="K6" s="24" t="n">
        <v>6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HHI=0.1503  ·  effective N pairs=6.7  ·  max pair=17.53%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PSX</t>
        </is>
      </c>
      <c r="B6" s="4" t="n">
        <v>231154.56</v>
      </c>
      <c r="C6" s="4" t="n">
        <v>231154.56</v>
      </c>
      <c r="D6" s="23" t="n">
        <v>25.33</v>
      </c>
      <c r="E6" s="23" t="n">
        <v>13.59</v>
      </c>
      <c r="F6" s="24" t="n">
        <v>1</v>
      </c>
    </row>
    <row r="7">
      <c r="A7" s="12" t="inlineStr">
        <is>
          <t>MLM</t>
        </is>
      </c>
      <c r="B7" s="13" t="n">
        <v>149139.76</v>
      </c>
      <c r="C7" s="19" t="n">
        <v>-149139.76</v>
      </c>
      <c r="D7" s="22" t="n">
        <v>16.35</v>
      </c>
      <c r="E7" s="22" t="n">
        <v>8.77</v>
      </c>
      <c r="F7" s="26" t="n">
        <v>1</v>
      </c>
    </row>
    <row r="8">
      <c r="A8" s="10" t="inlineStr">
        <is>
          <t>DGX</t>
        </is>
      </c>
      <c r="B8" s="4" t="n">
        <v>149126.4</v>
      </c>
      <c r="C8" s="4" t="n">
        <v>149126.4</v>
      </c>
      <c r="D8" s="23" t="n">
        <v>16.34</v>
      </c>
      <c r="E8" s="23" t="n">
        <v>8.76</v>
      </c>
      <c r="F8" s="24" t="n">
        <v>1</v>
      </c>
    </row>
    <row r="9">
      <c r="A9" s="12" t="inlineStr">
        <is>
          <t>NKE</t>
        </is>
      </c>
      <c r="B9" s="13" t="n">
        <v>149071.54</v>
      </c>
      <c r="C9" s="19" t="n">
        <v>-149071.54</v>
      </c>
      <c r="D9" s="22" t="n">
        <v>16.34</v>
      </c>
      <c r="E9" s="22" t="n">
        <v>8.76</v>
      </c>
      <c r="F9" s="26" t="n">
        <v>1</v>
      </c>
    </row>
    <row r="10">
      <c r="A10" s="10" t="inlineStr">
        <is>
          <t>PRU</t>
        </is>
      </c>
      <c r="B10" s="4" t="n">
        <v>149059.68</v>
      </c>
      <c r="C10" s="4" t="n">
        <v>149059.68</v>
      </c>
      <c r="D10" s="23" t="n">
        <v>16.34</v>
      </c>
      <c r="E10" s="23" t="n">
        <v>8.76</v>
      </c>
      <c r="F10" s="24" t="n">
        <v>1</v>
      </c>
    </row>
    <row r="11">
      <c r="A11" s="12" t="inlineStr">
        <is>
          <t>TXT</t>
        </is>
      </c>
      <c r="B11" s="13" t="n">
        <v>149034.48</v>
      </c>
      <c r="C11" s="19" t="n">
        <v>-149034.48</v>
      </c>
      <c r="D11" s="22" t="n">
        <v>16.33</v>
      </c>
      <c r="E11" s="22" t="n">
        <v>8.76</v>
      </c>
      <c r="F11" s="26" t="n">
        <v>1</v>
      </c>
    </row>
    <row r="12">
      <c r="A12" s="10" t="inlineStr">
        <is>
          <t>WTW</t>
        </is>
      </c>
      <c r="B12" s="4" t="n">
        <v>148812.56</v>
      </c>
      <c r="C12" s="4" t="n">
        <v>148812.56</v>
      </c>
      <c r="D12" s="23" t="n">
        <v>16.31</v>
      </c>
      <c r="E12" s="23" t="n">
        <v>8.75</v>
      </c>
      <c r="F12" s="24" t="n">
        <v>1</v>
      </c>
    </row>
    <row r="13">
      <c r="A13" s="12" t="inlineStr">
        <is>
          <t>LKQ</t>
        </is>
      </c>
      <c r="B13" s="13" t="n">
        <v>117929.85</v>
      </c>
      <c r="C13" s="19" t="n">
        <v>-117929.85</v>
      </c>
      <c r="D13" s="22" t="n">
        <v>12.92</v>
      </c>
      <c r="E13" s="22" t="n">
        <v>6.93</v>
      </c>
      <c r="F13" s="26" t="n">
        <v>1</v>
      </c>
    </row>
    <row r="14">
      <c r="A14" s="10" t="inlineStr">
        <is>
          <t>INCY</t>
        </is>
      </c>
      <c r="B14" s="4" t="n">
        <v>115336.8</v>
      </c>
      <c r="C14" s="4" t="n">
        <v>115336.8</v>
      </c>
      <c r="D14" s="23" t="n">
        <v>12.64</v>
      </c>
      <c r="E14" s="23" t="n">
        <v>6.78</v>
      </c>
      <c r="F14" s="24" t="n">
        <v>1</v>
      </c>
    </row>
    <row r="15">
      <c r="A15" s="12" t="inlineStr">
        <is>
          <t>HCA</t>
        </is>
      </c>
      <c r="B15" s="13" t="n">
        <v>97024.19</v>
      </c>
      <c r="C15" s="19" t="n">
        <v>-97024.19</v>
      </c>
      <c r="D15" s="22" t="n">
        <v>10.63</v>
      </c>
      <c r="E15" s="22" t="n">
        <v>5.7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finance</t>
        </is>
      </c>
      <c r="B20" s="4" t="n">
        <v>297872.24</v>
      </c>
      <c r="C20" s="11" t="n">
        <v>0</v>
      </c>
      <c r="D20" s="4" t="n">
        <v>297872.24</v>
      </c>
      <c r="E20" s="7" t="n">
        <v>17.51</v>
      </c>
    </row>
    <row r="21">
      <c r="A21" s="12" t="inlineStr">
        <is>
          <t>energy</t>
        </is>
      </c>
      <c r="B21" s="13" t="n">
        <v>231154.56</v>
      </c>
      <c r="C21" s="15" t="n">
        <v>0</v>
      </c>
      <c r="D21" s="13" t="n">
        <v>231154.56</v>
      </c>
      <c r="E21" s="17" t="n">
        <v>13.59</v>
      </c>
    </row>
    <row r="22">
      <c r="A22" s="10" t="inlineStr">
        <is>
          <t>health</t>
        </is>
      </c>
      <c r="B22" s="4" t="n">
        <v>336117.2</v>
      </c>
      <c r="C22" s="4" t="n">
        <v>171078.17</v>
      </c>
      <c r="D22" s="4" t="n">
        <v>165039.03</v>
      </c>
      <c r="E22" s="7" t="n">
        <v>9.699999999999999</v>
      </c>
    </row>
    <row r="23">
      <c r="A23" s="12" t="inlineStr">
        <is>
          <t>materials</t>
        </is>
      </c>
      <c r="B23" s="15" t="n">
        <v>0</v>
      </c>
      <c r="C23" s="13" t="n">
        <v>149139.76</v>
      </c>
      <c r="D23" s="19" t="n">
        <v>-149139.76</v>
      </c>
      <c r="E23" s="17" t="n">
        <v>-8.77</v>
      </c>
    </row>
    <row r="24">
      <c r="A24" s="10" t="inlineStr">
        <is>
          <t>industrial</t>
        </is>
      </c>
      <c r="B24" s="11" t="n">
        <v>0</v>
      </c>
      <c r="C24" s="4" t="n">
        <v>149034.48</v>
      </c>
      <c r="D24" s="18" t="n">
        <v>-149034.48</v>
      </c>
      <c r="E24" s="7" t="n">
        <v>-8.76</v>
      </c>
    </row>
    <row r="25">
      <c r="A25" s="12" t="inlineStr">
        <is>
          <t>other</t>
        </is>
      </c>
      <c r="B25" s="15" t="n">
        <v>0</v>
      </c>
      <c r="C25" s="13" t="n">
        <v>117929.85</v>
      </c>
      <c r="D25" s="19" t="n">
        <v>-117929.85</v>
      </c>
      <c r="E25" s="17" t="n">
        <v>-6.93</v>
      </c>
    </row>
    <row r="26">
      <c r="A26" s="10" t="inlineStr">
        <is>
          <t>food</t>
        </is>
      </c>
      <c r="B26" s="4" t="n">
        <v>92729.5</v>
      </c>
      <c r="C26" s="4" t="n">
        <v>149071.54</v>
      </c>
      <c r="D26" s="18" t="n">
        <v>-56342.04</v>
      </c>
      <c r="E26" s="7" t="n">
        <v>-3.31</v>
      </c>
    </row>
    <row r="27">
      <c r="A27" s="12" t="inlineStr">
        <is>
          <t>tech</t>
        </is>
      </c>
      <c r="B27" s="15" t="n">
        <v>0</v>
      </c>
      <c r="C27" s="13" t="n">
        <v>7371.52</v>
      </c>
      <c r="D27" s="19" t="n">
        <v>-7371.52</v>
      </c>
      <c r="E27" s="17" t="n">
        <v>-0.43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-0.6</v>
      </c>
    </row>
    <row r="4">
      <c r="A4" s="3" t="inlineStr">
        <is>
          <t>Gross beta</t>
        </is>
      </c>
      <c r="B4" s="6" t="n">
        <v>0.833</v>
      </c>
    </row>
    <row r="5">
      <c r="A5" s="3" t="inlineStr">
        <is>
          <t>Momentum factor net (% NAV)</t>
        </is>
      </c>
      <c r="B5" s="5" t="n">
        <v>23.74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finance</t>
        </is>
      </c>
      <c r="B10" s="23" t="n">
        <v>17.51</v>
      </c>
    </row>
    <row r="11">
      <c r="A11" s="12" t="inlineStr">
        <is>
          <t>energy</t>
        </is>
      </c>
      <c r="B11" s="22" t="n">
        <v>13.59</v>
      </c>
    </row>
    <row r="12">
      <c r="A12" s="10" t="inlineStr">
        <is>
          <t>health</t>
        </is>
      </c>
      <c r="B12" s="23" t="n">
        <v>9.699999999999999</v>
      </c>
    </row>
    <row r="13">
      <c r="A13" s="12" t="inlineStr">
        <is>
          <t>materials</t>
        </is>
      </c>
      <c r="B13" s="20" t="n">
        <v>-8.77</v>
      </c>
    </row>
    <row r="14">
      <c r="A14" s="10" t="inlineStr">
        <is>
          <t>industrial</t>
        </is>
      </c>
      <c r="B14" s="21" t="n">
        <v>-8.76</v>
      </c>
    </row>
    <row r="15">
      <c r="A15" s="12" t="inlineStr">
        <is>
          <t>other</t>
        </is>
      </c>
      <c r="B15" s="20" t="n">
        <v>-6.93</v>
      </c>
    </row>
    <row r="16">
      <c r="A16" s="10" t="inlineStr">
        <is>
          <t>food</t>
        </is>
      </c>
      <c r="B16" s="21" t="n">
        <v>-3.31</v>
      </c>
    </row>
    <row r="17">
      <c r="A17" s="12" t="inlineStr">
        <is>
          <t>tech</t>
        </is>
      </c>
      <c r="B17" s="20" t="n">
        <v>-0.43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20220.41</v>
      </c>
    </row>
    <row r="4">
      <c r="A4" s="3" t="inlineStr">
        <is>
          <t>Parametric VaR 99% 1d ($)</t>
        </is>
      </c>
      <c r="B4" s="4" t="n">
        <v>28591.29</v>
      </c>
    </row>
    <row r="5">
      <c r="A5" s="3" t="inlineStr">
        <is>
          <t>Annual vol ($)</t>
        </is>
      </c>
      <c r="B5" s="4" t="n">
        <v>195130.11</v>
      </c>
    </row>
    <row r="6">
      <c r="A6" s="3" t="inlineStr">
        <is>
          <t>Annual vol (% NAV)</t>
        </is>
      </c>
      <c r="B6" s="5" t="n">
        <v>21.39</v>
      </c>
    </row>
    <row r="7">
      <c r="A7" s="3" t="inlineStr">
        <is>
          <t>Historical VaR 95% 1d ($)</t>
        </is>
      </c>
      <c r="B7" s="4" t="n">
        <v>14830.95</v>
      </c>
    </row>
    <row r="8">
      <c r="A8" s="3" t="inlineStr">
        <is>
          <t>Historical CVaR 95% 1d ($)</t>
        </is>
      </c>
      <c r="B8" s="4" t="n">
        <v>19835.39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WTW/MLM</t>
        </is>
      </c>
      <c r="B12" s="4" t="n">
        <v>5383.11</v>
      </c>
      <c r="C12" s="7" t="n">
        <v>26.62</v>
      </c>
    </row>
    <row r="13">
      <c r="A13" s="12" t="inlineStr">
        <is>
          <t>PSX/AKAM</t>
        </is>
      </c>
      <c r="B13" s="13" t="n">
        <v>4493.39</v>
      </c>
      <c r="C13" s="17" t="n">
        <v>22.22</v>
      </c>
    </row>
    <row r="14">
      <c r="A14" s="10" t="inlineStr">
        <is>
          <t>INCY/LKQ</t>
        </is>
      </c>
      <c r="B14" s="4" t="n">
        <v>4237.3</v>
      </c>
      <c r="C14" s="7" t="n">
        <v>20.96</v>
      </c>
    </row>
    <row r="15">
      <c r="A15" s="12" t="inlineStr">
        <is>
          <t>DGX/NKE</t>
        </is>
      </c>
      <c r="B15" s="13" t="n">
        <v>2447.39</v>
      </c>
      <c r="C15" s="17" t="n">
        <v>12.1</v>
      </c>
    </row>
    <row r="16">
      <c r="A16" s="10" t="inlineStr">
        <is>
          <t>PRU/TXT</t>
        </is>
      </c>
      <c r="B16" s="4" t="n">
        <v>2012.99</v>
      </c>
      <c r="C16" s="7" t="n">
        <v>9.960000000000001</v>
      </c>
    </row>
    <row r="17">
      <c r="A17" s="12" t="inlineStr">
        <is>
          <t>RMD/SYK</t>
        </is>
      </c>
      <c r="B17" s="13" t="n">
        <v>885.3200000000001</v>
      </c>
      <c r="C17" s="17" t="n">
        <v>4.38</v>
      </c>
    </row>
    <row r="18">
      <c r="A18" s="10" t="inlineStr">
        <is>
          <t>BBY/HCA</t>
        </is>
      </c>
      <c r="B18" s="4" t="n">
        <v>760.9</v>
      </c>
      <c r="C18" s="7" t="n">
        <v>3.76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INCY/LKQ</t>
        </is>
      </c>
      <c r="C6" s="4" t="n">
        <v>5253</v>
      </c>
      <c r="D6" s="4" t="n">
        <v>3059461</v>
      </c>
      <c r="E6" s="7" t="n">
        <v>0.01</v>
      </c>
    </row>
    <row r="7">
      <c r="A7" s="12" t="inlineStr">
        <is>
          <t>RMD</t>
        </is>
      </c>
      <c r="B7" s="17" t="inlineStr">
        <is>
          <t>RMD/SYK</t>
        </is>
      </c>
      <c r="C7" s="13" t="n">
        <v>351</v>
      </c>
      <c r="D7" s="13" t="n">
        <v>1372691</v>
      </c>
      <c r="E7" s="17" t="n">
        <v>0</v>
      </c>
    </row>
    <row r="8">
      <c r="A8" s="10" t="inlineStr">
        <is>
          <t>SYK</t>
        </is>
      </c>
      <c r="B8" s="7" t="inlineStr">
        <is>
          <t>RMD/SYK</t>
        </is>
      </c>
      <c r="C8" s="4" t="n">
        <v>220</v>
      </c>
      <c r="D8" s="4" t="n">
        <v>2476486</v>
      </c>
      <c r="E8" s="7" t="n">
        <v>0</v>
      </c>
    </row>
    <row r="9">
      <c r="A9" s="12" t="inlineStr">
        <is>
          <t>BBY</t>
        </is>
      </c>
      <c r="B9" s="17" t="inlineStr">
        <is>
          <t>BBY/HCA</t>
        </is>
      </c>
      <c r="C9" s="13" t="n">
        <v>1075</v>
      </c>
      <c r="D9" s="13" t="n">
        <v>3379364</v>
      </c>
      <c r="E9" s="17" t="n">
        <v>0</v>
      </c>
    </row>
    <row r="10">
      <c r="A10" s="10" t="inlineStr">
        <is>
          <t>HCA</t>
        </is>
      </c>
      <c r="B10" s="7" t="inlineStr">
        <is>
          <t>BBY/HCA</t>
        </is>
      </c>
      <c r="C10" s="4" t="n">
        <v>241</v>
      </c>
      <c r="D10" s="4" t="n">
        <v>1822409</v>
      </c>
      <c r="E10" s="7" t="n">
        <v>0</v>
      </c>
    </row>
    <row r="11">
      <c r="A11" s="12" t="inlineStr">
        <is>
          <t>PSX</t>
        </is>
      </c>
      <c r="B11" s="17" t="inlineStr">
        <is>
          <t>PSX/AKAM</t>
        </is>
      </c>
      <c r="C11" s="13" t="n">
        <v>1092</v>
      </c>
      <c r="D11" s="13" t="n">
        <v>2527147</v>
      </c>
      <c r="E11" s="17" t="n">
        <v>0</v>
      </c>
    </row>
    <row r="12">
      <c r="A12" s="10" t="inlineStr">
        <is>
          <t>AKAM</t>
        </is>
      </c>
      <c r="B12" s="7" t="inlineStr">
        <is>
          <t>PSX/AKAM</t>
        </is>
      </c>
      <c r="C12" s="11" t="n">
        <v>64</v>
      </c>
      <c r="D12" s="4" t="n">
        <v>3476398</v>
      </c>
      <c r="E12" s="7" t="n">
        <v>0</v>
      </c>
    </row>
    <row r="13">
      <c r="A13" s="12" t="inlineStr">
        <is>
          <t>INCY</t>
        </is>
      </c>
      <c r="B13" s="17" t="inlineStr">
        <is>
          <t>INCY/LKQ</t>
        </is>
      </c>
      <c r="C13" s="13" t="n">
        <v>965</v>
      </c>
      <c r="D13" s="13" t="n">
        <v>1905362</v>
      </c>
      <c r="E13" s="17" t="n">
        <v>0</v>
      </c>
    </row>
    <row r="14">
      <c r="A14" s="10" t="inlineStr">
        <is>
          <t>DGX</t>
        </is>
      </c>
      <c r="B14" s="7" t="inlineStr">
        <is>
          <t>DGX/NKE</t>
        </is>
      </c>
      <c r="C14" s="4" t="n">
        <v>640</v>
      </c>
      <c r="D14" s="4" t="n">
        <v>1125076</v>
      </c>
      <c r="E14" s="7" t="n">
        <v>0</v>
      </c>
    </row>
    <row r="15">
      <c r="A15" s="12" t="inlineStr">
        <is>
          <t>NKE</t>
        </is>
      </c>
      <c r="B15" s="17" t="inlineStr">
        <is>
          <t>DGX/NKE</t>
        </is>
      </c>
      <c r="C15" s="13" t="n">
        <v>3574</v>
      </c>
      <c r="D15" s="13" t="n">
        <v>17954144</v>
      </c>
      <c r="E15" s="17" t="n">
        <v>0</v>
      </c>
    </row>
    <row r="16">
      <c r="A16" s="10" t="inlineStr">
        <is>
          <t>WTW</t>
        </is>
      </c>
      <c r="B16" s="7" t="inlineStr">
        <is>
          <t>WTW/MLM</t>
        </is>
      </c>
      <c r="C16" s="4" t="n">
        <v>443</v>
      </c>
      <c r="D16" s="4" t="n">
        <v>590887</v>
      </c>
      <c r="E16" s="7" t="n">
        <v>0</v>
      </c>
    </row>
    <row r="17">
      <c r="A17" s="12" t="inlineStr">
        <is>
          <t>MLM</t>
        </is>
      </c>
      <c r="B17" s="17" t="inlineStr">
        <is>
          <t>WTW/MLM</t>
        </is>
      </c>
      <c r="C17" s="13" t="n">
        <v>284</v>
      </c>
      <c r="D17" s="13" t="n">
        <v>603701</v>
      </c>
      <c r="E17" s="17" t="n">
        <v>0</v>
      </c>
    </row>
    <row r="18">
      <c r="A18" s="10" t="inlineStr">
        <is>
          <t>PRU</t>
        </is>
      </c>
      <c r="B18" s="7" t="inlineStr">
        <is>
          <t>PRU/TXT</t>
        </is>
      </c>
      <c r="C18" s="4" t="n">
        <v>1221</v>
      </c>
      <c r="D18" s="4" t="n">
        <v>1775462</v>
      </c>
      <c r="E18" s="7" t="n">
        <v>0</v>
      </c>
    </row>
    <row r="19">
      <c r="A19" s="12" t="inlineStr">
        <is>
          <t>TXT</t>
        </is>
      </c>
      <c r="B19" s="17" t="inlineStr">
        <is>
          <t>PRU/TXT</t>
        </is>
      </c>
      <c r="C19" s="13" t="n">
        <v>1748</v>
      </c>
      <c r="D19" s="13" t="n">
        <v>1764650</v>
      </c>
      <c r="E19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4" t="n">
        <v>27372.77</v>
      </c>
      <c r="C4" s="23" t="n">
        <v>3</v>
      </c>
    </row>
    <row r="5">
      <c r="A5" s="12" t="inlineStr">
        <is>
          <t>SPY -10%</t>
        </is>
      </c>
      <c r="B5" s="13" t="n">
        <v>54745.55</v>
      </c>
      <c r="C5" s="22" t="n">
        <v>6</v>
      </c>
    </row>
    <row r="6">
      <c r="A6" s="10" t="inlineStr">
        <is>
          <t>VIX +10pt</t>
        </is>
      </c>
      <c r="B6" s="4" t="n">
        <v>27372.77</v>
      </c>
      <c r="C6" s="23" t="n">
        <v>3</v>
      </c>
    </row>
    <row r="7">
      <c r="A7" s="12" t="inlineStr">
        <is>
          <t>Top sector -10%</t>
        </is>
      </c>
      <c r="B7" s="19" t="n">
        <v>-29787.22</v>
      </c>
      <c r="C7" s="20" t="n">
        <v>-3.26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0.25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4.72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0.66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PSX</t>
        </is>
      </c>
      <c r="C8" s="30" t="n">
        <v>25.33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MLM</t>
        </is>
      </c>
      <c r="C9" s="30" t="n">
        <v>16.35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DGX</t>
        </is>
      </c>
      <c r="C10" s="30" t="n">
        <v>16.34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finance</t>
        </is>
      </c>
      <c r="C11" s="30" t="n">
        <v>17.51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17.53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0.6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2.22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6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RMD/SYK</t>
        </is>
      </c>
      <c r="C4" s="17" t="inlineStr">
        <is>
          <t>RMD</t>
        </is>
      </c>
      <c r="D4" s="17" t="inlineStr">
        <is>
          <t>short</t>
        </is>
      </c>
      <c r="E4" s="26" t="n">
        <v>-351</v>
      </c>
      <c r="F4" s="13" t="n">
        <v>210.98</v>
      </c>
      <c r="G4" s="19" t="n">
        <v>-74053.98</v>
      </c>
      <c r="H4" s="17" t="inlineStr">
        <is>
          <t>health</t>
        </is>
      </c>
      <c r="I4" s="17" t="n">
        <v>0</v>
      </c>
      <c r="J4" s="17" t="inlineStr">
        <is>
          <t>fast_signal_tight_stop</t>
        </is>
      </c>
    </row>
    <row r="5">
      <c r="A5" s="10" t="inlineStr">
        <is>
          <t>MRPT</t>
        </is>
      </c>
      <c r="B5" s="7" t="inlineStr">
        <is>
          <t>RMD/SYK</t>
        </is>
      </c>
      <c r="C5" s="7" t="inlineStr">
        <is>
          <t>SYK</t>
        </is>
      </c>
      <c r="D5" s="7" t="inlineStr">
        <is>
          <t>long</t>
        </is>
      </c>
      <c r="E5" s="24" t="n">
        <v>220</v>
      </c>
      <c r="F5" s="4" t="n">
        <v>325.7</v>
      </c>
      <c r="G5" s="4" t="n">
        <v>71654</v>
      </c>
      <c r="H5" s="7" t="inlineStr">
        <is>
          <t>health</t>
        </is>
      </c>
      <c r="I5" s="7" t="n">
        <v>0</v>
      </c>
      <c r="J5" s="7" t="inlineStr">
        <is>
          <t>fast_signal_tight_stop</t>
        </is>
      </c>
    </row>
    <row r="6">
      <c r="A6" s="12" t="inlineStr">
        <is>
          <t>MTFS</t>
        </is>
      </c>
      <c r="B6" s="17" t="inlineStr">
        <is>
          <t>BBY/HCA</t>
        </is>
      </c>
      <c r="C6" s="17" t="inlineStr">
        <is>
          <t>BBY</t>
        </is>
      </c>
      <c r="D6" s="17" t="inlineStr">
        <is>
          <t>long</t>
        </is>
      </c>
      <c r="E6" s="26" t="n">
        <v>1075</v>
      </c>
      <c r="F6" s="15" t="n">
        <v>86.26000000000001</v>
      </c>
      <c r="G6" s="13" t="n">
        <v>92729.5</v>
      </c>
      <c r="H6" s="17" t="inlineStr">
        <is>
          <t>food</t>
        </is>
      </c>
      <c r="I6" s="17" t="n">
        <v>12</v>
      </c>
      <c r="J6" s="17" t="inlineStr">
        <is>
          <t>long_term_kalman</t>
        </is>
      </c>
    </row>
    <row r="7">
      <c r="A7" s="10" t="inlineStr">
        <is>
          <t>MTFS</t>
        </is>
      </c>
      <c r="B7" s="7" t="inlineStr">
        <is>
          <t>BBY/HCA</t>
        </is>
      </c>
      <c r="C7" s="7" t="inlineStr">
        <is>
          <t>HCA</t>
        </is>
      </c>
      <c r="D7" s="7" t="inlineStr">
        <is>
          <t>short</t>
        </is>
      </c>
      <c r="E7" s="24" t="n">
        <v>-241</v>
      </c>
      <c r="F7" s="4" t="n">
        <v>402.59</v>
      </c>
      <c r="G7" s="18" t="n">
        <v>-97024.19</v>
      </c>
      <c r="H7" s="7" t="inlineStr">
        <is>
          <t>health</t>
        </is>
      </c>
      <c r="I7" s="7" t="n">
        <v>12</v>
      </c>
      <c r="J7" s="7" t="inlineStr">
        <is>
          <t>long_term_kalman</t>
        </is>
      </c>
    </row>
    <row r="8">
      <c r="A8" s="12" t="inlineStr">
        <is>
          <t>MTFS</t>
        </is>
      </c>
      <c r="B8" s="17" t="inlineStr">
        <is>
          <t>PSX/AKAM</t>
        </is>
      </c>
      <c r="C8" s="17" t="inlineStr">
        <is>
          <t>PSX</t>
        </is>
      </c>
      <c r="D8" s="17" t="inlineStr">
        <is>
          <t>long</t>
        </is>
      </c>
      <c r="E8" s="26" t="n">
        <v>1092</v>
      </c>
      <c r="F8" s="13" t="n">
        <v>211.68</v>
      </c>
      <c r="G8" s="13" t="n">
        <v>231154.56</v>
      </c>
      <c r="H8" s="17" t="inlineStr">
        <is>
          <t>energy</t>
        </is>
      </c>
      <c r="I8" s="17" t="n">
        <v>1</v>
      </c>
      <c r="J8" s="17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PSX/AKAM</t>
        </is>
      </c>
      <c r="C9" s="7" t="inlineStr">
        <is>
          <t>AKAM</t>
        </is>
      </c>
      <c r="D9" s="7" t="inlineStr">
        <is>
          <t>short</t>
        </is>
      </c>
      <c r="E9" s="24" t="n">
        <v>-64</v>
      </c>
      <c r="F9" s="4" t="n">
        <v>115.18</v>
      </c>
      <c r="G9" s="18" t="n">
        <v>-7371.52</v>
      </c>
      <c r="H9" s="7" t="inlineStr">
        <is>
          <t>tech</t>
        </is>
      </c>
      <c r="I9" s="7" t="n">
        <v>1</v>
      </c>
      <c r="J9" s="7" t="inlineStr">
        <is>
          <t>beta_neutral_long_term</t>
        </is>
      </c>
    </row>
    <row r="10">
      <c r="A10" s="12" t="inlineStr">
        <is>
          <t>MTFS</t>
        </is>
      </c>
      <c r="B10" s="17" t="inlineStr">
        <is>
          <t>INCY/LKQ</t>
        </is>
      </c>
      <c r="C10" s="17" t="inlineStr">
        <is>
          <t>INCY</t>
        </is>
      </c>
      <c r="D10" s="17" t="inlineStr">
        <is>
          <t>long</t>
        </is>
      </c>
      <c r="E10" s="26" t="n">
        <v>965</v>
      </c>
      <c r="F10" s="13" t="n">
        <v>119.52</v>
      </c>
      <c r="G10" s="13" t="n">
        <v>115336.8</v>
      </c>
      <c r="H10" s="17" t="inlineStr">
        <is>
          <t>health</t>
        </is>
      </c>
      <c r="I10" s="17" t="n">
        <v>1</v>
      </c>
      <c r="J10" s="17" t="inlineStr">
        <is>
          <t>slow_rebalance</t>
        </is>
      </c>
    </row>
    <row r="11">
      <c r="A11" s="10" t="inlineStr">
        <is>
          <t>MTFS</t>
        </is>
      </c>
      <c r="B11" s="7" t="inlineStr">
        <is>
          <t>INCY/LKQ</t>
        </is>
      </c>
      <c r="C11" s="7" t="inlineStr">
        <is>
          <t>LKQ</t>
        </is>
      </c>
      <c r="D11" s="7" t="inlineStr">
        <is>
          <t>short</t>
        </is>
      </c>
      <c r="E11" s="24" t="n">
        <v>-5253</v>
      </c>
      <c r="F11" s="11" t="n">
        <v>22.45</v>
      </c>
      <c r="G11" s="18" t="n">
        <v>-117929.85</v>
      </c>
      <c r="H11" s="7" t="inlineStr">
        <is>
          <t>other</t>
        </is>
      </c>
      <c r="I11" s="7" t="n">
        <v>1</v>
      </c>
      <c r="J11" s="7" t="inlineStr">
        <is>
          <t>slow_rebalance</t>
        </is>
      </c>
    </row>
    <row r="12">
      <c r="A12" s="12" t="inlineStr">
        <is>
          <t>MTFS</t>
        </is>
      </c>
      <c r="B12" s="17" t="inlineStr">
        <is>
          <t>DGX/NKE</t>
        </is>
      </c>
      <c r="C12" s="17" t="inlineStr">
        <is>
          <t>DGX</t>
        </is>
      </c>
      <c r="D12" s="17" t="inlineStr">
        <is>
          <t>long</t>
        </is>
      </c>
      <c r="E12" s="26" t="n">
        <v>640</v>
      </c>
      <c r="F12" s="13" t="n">
        <v>233.01</v>
      </c>
      <c r="G12" s="13" t="n">
        <v>149126.4</v>
      </c>
      <c r="H12" s="17" t="inlineStr">
        <is>
          <t>health</t>
        </is>
      </c>
      <c r="I12" s="17" t="n">
        <v>0</v>
      </c>
      <c r="J12" s="17" t="inlineStr">
        <is>
          <t>entry_threshold_strong</t>
        </is>
      </c>
    </row>
    <row r="13">
      <c r="A13" s="10" t="inlineStr">
        <is>
          <t>MTFS</t>
        </is>
      </c>
      <c r="B13" s="7" t="inlineStr">
        <is>
          <t>DGX/NKE</t>
        </is>
      </c>
      <c r="C13" s="7" t="inlineStr">
        <is>
          <t>NKE</t>
        </is>
      </c>
      <c r="D13" s="7" t="inlineStr">
        <is>
          <t>short</t>
        </is>
      </c>
      <c r="E13" s="24" t="n">
        <v>-3574</v>
      </c>
      <c r="F13" s="11" t="n">
        <v>41.71</v>
      </c>
      <c r="G13" s="18" t="n">
        <v>-149071.54</v>
      </c>
      <c r="H13" s="7" t="inlineStr">
        <is>
          <t>food</t>
        </is>
      </c>
      <c r="I13" s="7" t="n">
        <v>0</v>
      </c>
      <c r="J13" s="7" t="inlineStr">
        <is>
          <t>entry_threshold_strong</t>
        </is>
      </c>
    </row>
    <row r="14">
      <c r="A14" s="12" t="inlineStr">
        <is>
          <t>MTFS</t>
        </is>
      </c>
      <c r="B14" s="17" t="inlineStr">
        <is>
          <t>WTW/MLM</t>
        </is>
      </c>
      <c r="C14" s="17" t="inlineStr">
        <is>
          <t>WTW</t>
        </is>
      </c>
      <c r="D14" s="17" t="inlineStr">
        <is>
          <t>long</t>
        </is>
      </c>
      <c r="E14" s="26" t="n">
        <v>443</v>
      </c>
      <c r="F14" s="13" t="n">
        <v>335.92</v>
      </c>
      <c r="G14" s="13" t="n">
        <v>148812.56</v>
      </c>
      <c r="H14" s="17" t="inlineStr">
        <is>
          <t>finance</t>
        </is>
      </c>
      <c r="I14" s="17" t="n">
        <v>0</v>
      </c>
      <c r="J14" s="17" t="inlineStr">
        <is>
          <t>monthly_ali…dows_fc_skip</t>
        </is>
      </c>
    </row>
    <row r="15">
      <c r="A15" s="10" t="inlineStr">
        <is>
          <t>MTFS</t>
        </is>
      </c>
      <c r="B15" s="7" t="inlineStr">
        <is>
          <t>WTW/MLM</t>
        </is>
      </c>
      <c r="C15" s="7" t="inlineStr">
        <is>
          <t>MLM</t>
        </is>
      </c>
      <c r="D15" s="7" t="inlineStr">
        <is>
          <t>short</t>
        </is>
      </c>
      <c r="E15" s="24" t="n">
        <v>-284</v>
      </c>
      <c r="F15" s="4" t="n">
        <v>525.14</v>
      </c>
      <c r="G15" s="18" t="n">
        <v>-149139.76</v>
      </c>
      <c r="H15" s="7" t="inlineStr">
        <is>
          <t>materials</t>
        </is>
      </c>
      <c r="I15" s="7" t="n">
        <v>0</v>
      </c>
      <c r="J15" s="7" t="inlineStr">
        <is>
          <t>monthly_ali…dows_fc_skip</t>
        </is>
      </c>
    </row>
    <row r="16">
      <c r="A16" s="12" t="inlineStr">
        <is>
          <t>MTFS</t>
        </is>
      </c>
      <c r="B16" s="17" t="inlineStr">
        <is>
          <t>PRU/TXT</t>
        </is>
      </c>
      <c r="C16" s="17" t="inlineStr">
        <is>
          <t>PRU</t>
        </is>
      </c>
      <c r="D16" s="17" t="inlineStr">
        <is>
          <t>long</t>
        </is>
      </c>
      <c r="E16" s="26" t="n">
        <v>1221</v>
      </c>
      <c r="F16" s="13" t="n">
        <v>122.08</v>
      </c>
      <c r="G16" s="13" t="n">
        <v>149059.68</v>
      </c>
      <c r="H16" s="17" t="inlineStr">
        <is>
          <t>finance</t>
        </is>
      </c>
      <c r="I16" s="17" t="n">
        <v>0</v>
      </c>
      <c r="J16" s="17" t="inlineStr">
        <is>
          <t>crash_adaptive</t>
        </is>
      </c>
    </row>
    <row r="17">
      <c r="A17" s="10" t="inlineStr">
        <is>
          <t>MTFS</t>
        </is>
      </c>
      <c r="B17" s="7" t="inlineStr">
        <is>
          <t>PRU/TXT</t>
        </is>
      </c>
      <c r="C17" s="7" t="inlineStr">
        <is>
          <t>TXT</t>
        </is>
      </c>
      <c r="D17" s="7" t="inlineStr">
        <is>
          <t>short</t>
        </is>
      </c>
      <c r="E17" s="24" t="n">
        <v>-1748</v>
      </c>
      <c r="F17" s="11" t="n">
        <v>85.26000000000001</v>
      </c>
      <c r="G17" s="18" t="n">
        <v>-149034.48</v>
      </c>
      <c r="H17" s="7" t="inlineStr">
        <is>
          <t>industrial</t>
        </is>
      </c>
      <c r="I17" s="7" t="n">
        <v>0</v>
      </c>
      <c r="J17" s="7" t="inlineStr">
        <is>
          <t>crash_adaptive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RMD/SYK</t>
        </is>
      </c>
      <c r="C4" s="15" t="n">
        <v>0</v>
      </c>
      <c r="D4" s="13" t="n">
        <v>145707.98</v>
      </c>
      <c r="E4" s="17" t="n">
        <v>0</v>
      </c>
      <c r="F4" s="17" t="inlineStr">
        <is>
          <t>fast_signal_tight_stop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BBY/HCA</t>
        </is>
      </c>
      <c r="C5" s="18" t="n">
        <v>-4764.59</v>
      </c>
      <c r="D5" s="4" t="n">
        <v>189753.69</v>
      </c>
      <c r="E5" s="7" t="n">
        <v>12</v>
      </c>
      <c r="F5" s="7" t="inlineStr">
        <is>
          <t>long_term_kalman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PSX/AKAM</t>
        </is>
      </c>
      <c r="C6" s="13" t="n">
        <v>1087.84</v>
      </c>
      <c r="D6" s="13" t="n">
        <v>238526.08</v>
      </c>
      <c r="E6" s="17" t="n">
        <v>1</v>
      </c>
      <c r="F6" s="17" t="inlineStr">
        <is>
          <t>beta_neutral_long_term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INCY/LKQ</t>
        </is>
      </c>
      <c r="C7" s="18" t="n">
        <v>-2560.6</v>
      </c>
      <c r="D7" s="4" t="n">
        <v>233266.65</v>
      </c>
      <c r="E7" s="7" t="n">
        <v>1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DGX/NKE</t>
        </is>
      </c>
      <c r="C8" s="15" t="n">
        <v>0</v>
      </c>
      <c r="D8" s="13" t="n">
        <v>298197.94</v>
      </c>
      <c r="E8" s="17" t="n">
        <v>0</v>
      </c>
      <c r="F8" s="17" t="inlineStr">
        <is>
          <t>entry_threshold_strong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WTW/MLM</t>
        </is>
      </c>
      <c r="C9" s="11" t="n">
        <v>0</v>
      </c>
      <c r="D9" s="4" t="n">
        <v>297952.32</v>
      </c>
      <c r="E9" s="7" t="n">
        <v>0</v>
      </c>
      <c r="F9" s="7" t="inlineStr">
        <is>
          <t>monthly_ali…dows_fc_skip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PRU/TXT</t>
        </is>
      </c>
      <c r="C10" s="15" t="n">
        <v>0</v>
      </c>
      <c r="D10" s="13" t="n">
        <v>298094.16</v>
      </c>
      <c r="E10" s="17" t="n">
        <v>0</v>
      </c>
      <c r="F10" s="17" t="inlineStr">
        <is>
          <t>crash_adaptive</t>
        </is>
      </c>
      <c r="G10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2026-07-31</t>
        </is>
      </c>
      <c r="C4" s="7" t="inlineStr">
        <is>
          <t>2026-07-31</t>
        </is>
      </c>
    </row>
    <row r="5">
      <c r="A5" s="12" t="inlineStr">
        <is>
          <t>T_1D</t>
        </is>
      </c>
      <c r="B5" s="17" t="inlineStr">
        <is>
          <t>2026-07-30</t>
        </is>
      </c>
      <c r="C5" s="17" t="inlineStr">
        <is>
          <t>2026-07-30</t>
        </is>
      </c>
    </row>
    <row r="6">
      <c r="A6" s="10" t="inlineStr">
        <is>
          <t>T_1W</t>
        </is>
      </c>
      <c r="B6" s="7" t="inlineStr">
        <is>
          <t>2026-07-24</t>
        </is>
      </c>
      <c r="C6" s="7" t="inlineStr">
        <is>
          <t>2026-07-24</t>
        </is>
      </c>
    </row>
    <row r="7">
      <c r="A7" s="12" t="inlineStr">
        <is>
          <t>T_1M</t>
        </is>
      </c>
      <c r="B7" s="17" t="inlineStr">
        <is>
          <t>2026-07-02</t>
        </is>
      </c>
      <c r="C7" s="17" t="inlineStr">
        <is>
          <t>2026-07-02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12.53</v>
      </c>
      <c r="C6" s="7" t="n">
        <v>0.7</v>
      </c>
      <c r="D6" s="7" t="n">
        <v>25</v>
      </c>
      <c r="E6" s="21" t="n">
        <v>-11.82</v>
      </c>
    </row>
    <row r="7">
      <c r="A7" s="12" t="inlineStr">
        <is>
          <t>MTFS</t>
        </is>
      </c>
      <c r="B7" s="17" t="n">
        <v>7.09</v>
      </c>
      <c r="C7" s="17" t="n">
        <v>15.14</v>
      </c>
      <c r="D7" s="17" t="n">
        <v>25</v>
      </c>
      <c r="E7" s="22" t="n">
        <v>8.039999999999999</v>
      </c>
    </row>
    <row r="8">
      <c r="A8" s="10" t="inlineStr">
        <is>
          <t>SSRS</t>
        </is>
      </c>
      <c r="B8" s="7" t="n">
        <v>21.43</v>
      </c>
      <c r="C8" s="7" t="n">
        <v>2.09</v>
      </c>
      <c r="D8" s="7" t="n">
        <v>25</v>
      </c>
      <c r="E8" s="21" t="n">
        <v>-19.34</v>
      </c>
    </row>
    <row r="9">
      <c r="A9" s="12" t="inlineStr">
        <is>
          <t>AISS</t>
        </is>
      </c>
      <c r="B9" s="17" t="n">
        <v>58.95</v>
      </c>
      <c r="C9" s="17" t="n">
        <v>82.06999999999999</v>
      </c>
      <c r="D9" s="17" t="n">
        <v>25</v>
      </c>
      <c r="E9" s="22" t="n">
        <v>23.12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WTW/MLM</t>
        </is>
      </c>
      <c r="B13" s="7" t="n">
        <v>26.62</v>
      </c>
    </row>
    <row r="14">
      <c r="A14" s="12" t="inlineStr">
        <is>
          <t>PSX/AKAM</t>
        </is>
      </c>
      <c r="B14" s="17" t="n">
        <v>22.22</v>
      </c>
    </row>
    <row r="15">
      <c r="A15" s="10" t="inlineStr">
        <is>
          <t>INCY/LKQ</t>
        </is>
      </c>
      <c r="B15" s="7" t="n">
        <v>20.96</v>
      </c>
    </row>
    <row r="16">
      <c r="A16" s="12" t="inlineStr">
        <is>
          <t>DGX/NKE</t>
        </is>
      </c>
      <c r="B16" s="17" t="n">
        <v>12.1</v>
      </c>
    </row>
    <row r="17">
      <c r="A17" s="10" t="inlineStr">
        <is>
          <t>PRU/TXT</t>
        </is>
      </c>
      <c r="B17" s="7" t="n">
        <v>9.960000000000001</v>
      </c>
    </row>
    <row r="18">
      <c r="A18" s="12" t="inlineStr">
        <is>
          <t>RMD/SYK</t>
        </is>
      </c>
      <c r="B18" s="17" t="n">
        <v>4.38</v>
      </c>
    </row>
    <row r="19">
      <c r="A19" s="10" t="inlineStr">
        <is>
          <t>BBY/HCA</t>
        </is>
      </c>
      <c r="B19" s="7" t="n">
        <v>3.76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19.09</v>
      </c>
      <c r="C5" s="7" t="n">
        <v>1.13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0.162 (t=1.11)</t>
        </is>
      </c>
      <c r="H5" s="7" t="inlineStr">
        <is>
          <t>0.153 (t=1.11)</t>
        </is>
      </c>
      <c r="I5" s="7" t="inlineStr">
        <is>
          <t>0.222 (t=1.85)</t>
        </is>
      </c>
      <c r="J5" s="7" t="inlineStr">
        <is>
          <t>-0.312 (t=-1.55)</t>
        </is>
      </c>
      <c r="K5" s="7" t="inlineStr">
        <is>
          <t>-0.076 (t=-1.09)</t>
        </is>
      </c>
    </row>
    <row r="6">
      <c r="A6" s="12" t="inlineStr">
        <is>
          <t>MRPT</t>
        </is>
      </c>
      <c r="B6" s="22" t="n">
        <v>36.11</v>
      </c>
      <c r="C6" s="17" t="n">
        <v>1.65</v>
      </c>
      <c r="D6" s="17" t="n">
        <v>0.075</v>
      </c>
      <c r="E6" s="17" t="n">
        <v>136</v>
      </c>
      <c r="F6" s="17" t="inlineStr">
        <is>
          <t>0.012 (t=0.09)</t>
        </is>
      </c>
      <c r="G6" s="17" t="inlineStr">
        <is>
          <t>0.126 (t=0.67)</t>
        </is>
      </c>
      <c r="H6" s="17" t="inlineStr">
        <is>
          <t>-0.116 (t=-0.64)</t>
        </is>
      </c>
      <c r="I6" s="17" t="inlineStr">
        <is>
          <t>0.269 (t=1.72)</t>
        </is>
      </c>
      <c r="J6" s="17" t="inlineStr">
        <is>
          <t>-0.219 (t=-0.84)</t>
        </is>
      </c>
      <c r="K6" s="17" t="inlineStr">
        <is>
          <t>-0.169 (t=-1.87)</t>
        </is>
      </c>
    </row>
    <row r="7">
      <c r="A7" s="10" t="inlineStr">
        <is>
          <t>MTFS</t>
        </is>
      </c>
      <c r="B7" s="21" t="n">
        <v>-2.77</v>
      </c>
      <c r="C7" s="7" t="n">
        <v>-0.09</v>
      </c>
      <c r="D7" s="7" t="n">
        <v>0.06</v>
      </c>
      <c r="E7" s="7" t="n">
        <v>136</v>
      </c>
      <c r="F7" s="7" t="inlineStr">
        <is>
          <t>-0.017 (t=-0.1)</t>
        </is>
      </c>
      <c r="G7" s="7" t="inlineStr">
        <is>
          <t>0.22 (t=0.85)</t>
        </is>
      </c>
      <c r="H7" s="7" t="inlineStr">
        <is>
          <t>0.53 (t=2.17)</t>
        </is>
      </c>
      <c r="I7" s="7" t="inlineStr">
        <is>
          <t>0.164 (t=0.77)</t>
        </is>
      </c>
      <c r="J7" s="7" t="inlineStr">
        <is>
          <t>-0.442 (t=-1.24)</t>
        </is>
      </c>
      <c r="K7" s="7" t="inlineStr">
        <is>
          <t>0.064 (t=0.52)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0.094</v>
      </c>
      <c r="C4" s="7" t="n">
        <v>10.569</v>
      </c>
      <c r="D4" s="7" t="n">
        <v>0</v>
      </c>
      <c r="E4" s="7" t="b">
        <v>1</v>
      </c>
      <c r="F4" s="7" t="n">
        <v>2.853</v>
      </c>
      <c r="G4" s="7" t="n">
        <v>2.853</v>
      </c>
      <c r="H4" s="7" t="n">
        <v>0</v>
      </c>
    </row>
    <row r="5">
      <c r="A5" s="12" t="inlineStr">
        <is>
          <t>MRPT</t>
        </is>
      </c>
      <c r="B5" s="17" t="n">
        <v>-0.184</v>
      </c>
      <c r="C5" s="17" t="n">
        <v>2.368</v>
      </c>
      <c r="D5" s="17" t="n">
        <v>0</v>
      </c>
      <c r="E5" s="17" t="b">
        <v>1</v>
      </c>
      <c r="F5" s="17" t="n">
        <v>1.434</v>
      </c>
      <c r="G5" s="17" t="n">
        <v>1.438</v>
      </c>
      <c r="H5" s="17" t="n">
        <v>0.004</v>
      </c>
    </row>
    <row r="6">
      <c r="A6" s="10" t="inlineStr">
        <is>
          <t>MTFS</t>
        </is>
      </c>
      <c r="B6" s="7" t="n">
        <v>0.9399999999999999</v>
      </c>
      <c r="C6" s="7" t="n">
        <v>13.381</v>
      </c>
      <c r="D6" s="7" t="n">
        <v>0</v>
      </c>
      <c r="E6" s="7" t="b">
        <v>1</v>
      </c>
      <c r="F6" s="7" t="n">
        <v>6.127</v>
      </c>
      <c r="G6" s="7" t="n">
        <v>6.127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0.09</v>
      </c>
      <c r="C9" s="7" t="n">
        <v>0.5306999999999999</v>
      </c>
      <c r="D9" s="7" t="n">
        <v>85078</v>
      </c>
      <c r="E9" s="7" t="n">
        <v>18.22</v>
      </c>
      <c r="F9" s="7" t="n">
        <v>23.96</v>
      </c>
      <c r="G9" s="7" t="n">
        <v>77.8</v>
      </c>
      <c r="H9" s="7" t="n">
        <v>-0.33</v>
      </c>
      <c r="I9" s="7" t="n">
        <v>-0.17</v>
      </c>
      <c r="J9" s="7" t="n">
        <v>1.865</v>
      </c>
    </row>
    <row r="10">
      <c r="A10" s="12" t="inlineStr">
        <is>
          <t>MRPT</t>
        </is>
      </c>
      <c r="B10" s="17" t="n">
        <v>1.309</v>
      </c>
      <c r="C10" s="17" t="n">
        <v>0.8677</v>
      </c>
      <c r="D10" s="17" t="n">
        <v>408</v>
      </c>
      <c r="E10" s="17" t="n">
        <v>10.45</v>
      </c>
      <c r="F10" s="17" t="n">
        <v>10.91</v>
      </c>
      <c r="G10" s="17" t="n">
        <v>80.40000000000001</v>
      </c>
      <c r="H10" s="17" t="n">
        <v>6.63</v>
      </c>
      <c r="I10" s="17" t="n">
        <v>3.32</v>
      </c>
      <c r="J10" s="17" t="n">
        <v>0.25</v>
      </c>
    </row>
    <row r="11">
      <c r="A11" s="10" t="inlineStr">
        <is>
          <t>MTFS</t>
        </is>
      </c>
      <c r="B11" s="7" t="n">
        <v>-0.221</v>
      </c>
      <c r="C11" s="7" t="n">
        <v>0.4249</v>
      </c>
      <c r="D11" s="7" t="n">
        <v>14110</v>
      </c>
      <c r="E11" s="7" t="n">
        <v>33.66</v>
      </c>
      <c r="F11" s="7" t="n">
        <v>44.68</v>
      </c>
      <c r="G11" s="7" t="n">
        <v>82.5</v>
      </c>
      <c r="H11" s="7" t="n">
        <v>-0.52</v>
      </c>
      <c r="I11" s="7" t="n">
        <v>-0.26</v>
      </c>
      <c r="J11" s="7" t="n">
        <v>4.717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2026-08-01T12:36:12Z</dcterms:created>
  <dcterms:modified xmlns:dcterms="http://purl.org/dc/terms/" xmlns:xsi="http://www.w3.org/2001/XMLSchema-instance" xsi:type="dcterms:W3CDTF">2026-08-01T12:36:12Z</dcterms:modified>
</cp:coreProperties>
</file>