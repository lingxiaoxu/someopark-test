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3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165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Trend'!$A$4:$A$167</f>
            </numRef>
          </cat>
          <val>
            <numRef>
              <f>'NAV Trend'!$B$4:$B$167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2026-06-26  ·  Generated 2026-06-27T04:42:53  ·  Scope: MRPT+MTFS pairs book (model-based, broker-reconciled)</t>
        </is>
      </c>
    </row>
    <row r="4">
      <c r="A4" s="3" t="inlineStr">
        <is>
          <t>NAV (equity)</t>
        </is>
      </c>
      <c r="B4" s="4" t="n">
        <v>1136582.09</v>
      </c>
    </row>
    <row r="5">
      <c r="A5" s="3" t="inlineStr">
        <is>
          <t>Gross leverage (x)</t>
        </is>
      </c>
      <c r="B5" s="5" t="n">
        <v>1.542</v>
      </c>
    </row>
    <row r="6">
      <c r="A6" s="3" t="inlineStr">
        <is>
          <t>Net leverage (x)</t>
        </is>
      </c>
      <c r="B6" s="6" t="n">
        <v>0.318</v>
      </c>
    </row>
    <row r="7">
      <c r="A7" s="3" t="inlineStr">
        <is>
          <t>Net market beta (target≈0)</t>
        </is>
      </c>
      <c r="B7" s="5" t="n">
        <v>1.778</v>
      </c>
    </row>
    <row r="8">
      <c r="A8" s="3" t="inlineStr">
        <is>
          <t>VaR 95% 1-day ($)</t>
        </is>
      </c>
      <c r="B8" s="4" t="n">
        <v>42409.64</v>
      </c>
    </row>
    <row r="9">
      <c r="A9" s="3" t="inlineStr">
        <is>
          <t>VaR 95% 1-day (% NAV)</t>
        </is>
      </c>
      <c r="B9" s="5" t="n">
        <v>3.73</v>
      </c>
    </row>
    <row r="10">
      <c r="A10" s="3" t="inlineStr">
        <is>
          <t>Annual vol (% NAV)</t>
        </is>
      </c>
      <c r="B10" s="5" t="n">
        <v>36.01</v>
      </c>
    </row>
    <row r="11">
      <c r="A11" s="3" t="inlineStr">
        <is>
          <t>Sharpe (annual)</t>
        </is>
      </c>
      <c r="B11" s="5" t="n">
        <v>1.389</v>
      </c>
    </row>
    <row r="12">
      <c r="A12" s="3" t="inlineStr">
        <is>
          <t>PSR( SR&gt;0 )</t>
        </is>
      </c>
      <c r="B12" s="6" t="n">
        <v>0.8706</v>
      </c>
    </row>
    <row r="13">
      <c r="A13" s="3" t="inlineStr">
        <is>
          <t>CDaR 95% (%)</t>
        </is>
      </c>
      <c r="B13" s="5" t="n">
        <v>8.69</v>
      </c>
    </row>
    <row r="14">
      <c r="A14" s="3" t="inlineStr">
        <is>
          <t>Kelly full / half (x)</t>
        </is>
      </c>
      <c r="B14" s="7" t="inlineStr">
        <is>
          <t>4.64 / 2.32</t>
        </is>
      </c>
    </row>
    <row r="15">
      <c r="A15" s="3" t="inlineStr">
        <is>
          <t>Actual gross leverage (x)</t>
        </is>
      </c>
      <c r="B15" s="5" t="n">
        <v>1.542</v>
      </c>
    </row>
    <row r="16">
      <c r="A16" s="3" t="inlineStr">
        <is>
          <t>Max single-name</t>
        </is>
      </c>
      <c r="B16" s="7" t="inlineStr">
        <is>
          <t>GLW (24.74% NAV)</t>
        </is>
      </c>
    </row>
    <row r="17">
      <c r="A17" s="3" t="inlineStr">
        <is>
          <t>Max sector net (% gross)</t>
        </is>
      </c>
      <c r="B17" s="5" t="n">
        <v>21.5</v>
      </c>
    </row>
    <row r="18">
      <c r="A18" s="3" t="inlineStr">
        <is>
          <t>Open pairs</t>
        </is>
      </c>
      <c r="B18" s="5" t="n">
        <v>10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65640.28</v>
      </c>
      <c r="C5" s="4" t="n">
        <v>187771.02</v>
      </c>
      <c r="D5" s="4" t="n">
        <v>303451.07</v>
      </c>
      <c r="E5" s="11" t="n">
        <v>0</v>
      </c>
    </row>
    <row r="6">
      <c r="A6" s="12" t="inlineStr">
        <is>
          <t>Restricted Cash 受限现金 (PB 102%)</t>
        </is>
      </c>
      <c r="B6" s="13" t="n">
        <v>709650.53</v>
      </c>
      <c r="C6" s="13" t="n">
        <v>604383.51</v>
      </c>
      <c r="D6" s="13" t="n">
        <v>392583.41</v>
      </c>
      <c r="E6" s="13" t="n">
        <v>816472.02</v>
      </c>
    </row>
    <row r="7">
      <c r="A7" s="10" t="inlineStr">
        <is>
          <t>Long Securities 多头证券</t>
        </is>
      </c>
      <c r="B7" s="4" t="n">
        <v>1057027.09</v>
      </c>
      <c r="C7" s="4" t="n">
        <v>925191.87</v>
      </c>
      <c r="D7" s="4" t="n">
        <v>788378.49</v>
      </c>
      <c r="E7" s="4" t="n">
        <v>1530068.64</v>
      </c>
    </row>
    <row r="8">
      <c r="A8" s="14" t="inlineStr">
        <is>
          <t>Total Assets 总资产</t>
        </is>
      </c>
      <c r="B8" s="13" t="n">
        <v>1832317.9</v>
      </c>
      <c r="C8" s="13" t="n">
        <v>1717346.4</v>
      </c>
      <c r="D8" s="13" t="n">
        <v>1484412.97</v>
      </c>
      <c r="E8" s="13" t="n">
        <v>2346540.65</v>
      </c>
    </row>
    <row r="9">
      <c r="A9" s="10" t="inlineStr">
        <is>
          <t>Short Securities 空头证券 (义务)</t>
        </is>
      </c>
      <c r="B9" s="4" t="n">
        <v>695735.8100000001</v>
      </c>
      <c r="C9" s="4" t="n">
        <v>592532.85</v>
      </c>
      <c r="D9" s="4" t="n">
        <v>384885.7</v>
      </c>
      <c r="E9" s="4" t="n">
        <v>800462.76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554304.2</v>
      </c>
    </row>
    <row r="11">
      <c r="A11" s="16" t="inlineStr">
        <is>
          <t>Total Liabilities 总负债</t>
        </is>
      </c>
      <c r="B11" s="4" t="n">
        <v>695735.8100000001</v>
      </c>
      <c r="C11" s="4" t="n">
        <v>592532.85</v>
      </c>
      <c r="D11" s="4" t="n">
        <v>384885.7</v>
      </c>
      <c r="E11" s="4" t="n">
        <v>1354766.96</v>
      </c>
    </row>
    <row r="12">
      <c r="A12" s="14" t="inlineStr">
        <is>
          <t>NAV (Equity) 净值 = TA - TL</t>
        </is>
      </c>
      <c r="B12" s="13" t="n">
        <v>1136582.09</v>
      </c>
      <c r="C12" s="13" t="n">
        <v>1124813.55</v>
      </c>
      <c r="D12" s="13" t="n">
        <v>1099527.27</v>
      </c>
      <c r="E12" s="13" t="n">
        <v>991773.6899999999</v>
      </c>
    </row>
    <row r="13">
      <c r="A13" s="10" t="inlineStr">
        <is>
          <t>Gross Leverage 总杠杆 (x)</t>
        </is>
      </c>
      <c r="B13" s="7" t="n">
        <v>1.542</v>
      </c>
      <c r="C13" s="7" t="n">
        <v>1.349</v>
      </c>
      <c r="D13" s="7" t="n">
        <v>1.067</v>
      </c>
      <c r="E13" s="7" t="n">
        <v>2.35</v>
      </c>
    </row>
    <row r="14">
      <c r="A14" s="12" t="inlineStr">
        <is>
          <t>Net Leverage 净杠杆 (x)</t>
        </is>
      </c>
      <c r="B14" s="17" t="n">
        <v>0.318</v>
      </c>
      <c r="C14" s="17" t="n">
        <v>0.296</v>
      </c>
      <c r="D14" s="17" t="n">
        <v>0.367</v>
      </c>
      <c r="E14" s="17" t="n">
        <v>0.736</v>
      </c>
    </row>
    <row r="15">
      <c r="A15" s="10" t="inlineStr">
        <is>
          <t>PM Requirement (20%)</t>
        </is>
      </c>
      <c r="B15" s="4" t="n">
        <v>350552.58</v>
      </c>
      <c r="C15" s="4" t="n">
        <v>303544.94</v>
      </c>
      <c r="D15" s="4" t="n">
        <v>234652.84</v>
      </c>
      <c r="E15" s="4" t="n">
        <v>466106.28</v>
      </c>
    </row>
    <row r="16">
      <c r="A16" s="12" t="inlineStr">
        <is>
          <t>Excess Liquidity 超额流动性</t>
        </is>
      </c>
      <c r="B16" s="13" t="n">
        <v>786029.51</v>
      </c>
      <c r="C16" s="13" t="n">
        <v>821268.61</v>
      </c>
      <c r="D16" s="13" t="n">
        <v>864874.4300000001</v>
      </c>
      <c r="E16" s="13" t="n">
        <v>525667.41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1057027.09</v>
      </c>
      <c r="C21" s="4" t="n">
        <v>925191.87</v>
      </c>
      <c r="D21" s="4" t="n">
        <v>788378.49</v>
      </c>
      <c r="E21" s="4" t="n">
        <v>991773.6899999999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1057027.09</v>
      </c>
      <c r="C23" s="4" t="n">
        <v>925191.87</v>
      </c>
      <c r="D23" s="4" t="n">
        <v>788378.49</v>
      </c>
      <c r="E23" s="4" t="n">
        <v>1530068.64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538294.95</v>
      </c>
    </row>
    <row r="25">
      <c r="A25" s="16" t="inlineStr">
        <is>
          <t>Long Book — NAV</t>
        </is>
      </c>
      <c r="B25" s="4" t="n">
        <v>1057027.09</v>
      </c>
      <c r="C25" s="4" t="n">
        <v>925191.87</v>
      </c>
      <c r="D25" s="4" t="n">
        <v>788378.49</v>
      </c>
      <c r="E25" s="4" t="n">
        <v>991773.6899999999</v>
      </c>
    </row>
    <row r="26">
      <c r="A26" s="12" t="inlineStr">
        <is>
          <t>Short Book — Allocated Capital 分配资本</t>
        </is>
      </c>
      <c r="B26" s="13" t="n">
        <v>13914.72</v>
      </c>
      <c r="C26" s="13" t="n">
        <v>11850.66</v>
      </c>
      <c r="D26" s="13" t="n">
        <v>7697.71</v>
      </c>
      <c r="E26" s="15" t="n">
        <v>0</v>
      </c>
    </row>
    <row r="27">
      <c r="A27" s="10" t="inlineStr">
        <is>
          <t>Short Book — Collateral 担保金</t>
        </is>
      </c>
      <c r="B27" s="4" t="n">
        <v>13914.72</v>
      </c>
      <c r="C27" s="4" t="n">
        <v>11850.66</v>
      </c>
      <c r="D27" s="4" t="n">
        <v>7697.71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695735.8100000001</v>
      </c>
      <c r="C28" s="13" t="n">
        <v>592532.85</v>
      </c>
      <c r="D28" s="13" t="n">
        <v>384885.7</v>
      </c>
      <c r="E28" s="13" t="n">
        <v>800462.76</v>
      </c>
    </row>
    <row r="29">
      <c r="A29" s="10" t="inlineStr">
        <is>
          <t>Short Book — Market Value 市值(负债)</t>
        </is>
      </c>
      <c r="B29" s="4" t="n">
        <v>695735.8100000001</v>
      </c>
      <c r="C29" s="4" t="n">
        <v>592532.85</v>
      </c>
      <c r="D29" s="4" t="n">
        <v>384885.7</v>
      </c>
      <c r="E29" s="4" t="n">
        <v>800462.76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16009.26</v>
      </c>
    </row>
    <row r="31">
      <c r="A31" s="16" t="inlineStr">
        <is>
          <t>Short Book — NAV</t>
        </is>
      </c>
      <c r="B31" s="4" t="n">
        <v>13914.72</v>
      </c>
      <c r="C31" s="4" t="n">
        <v>11850.66</v>
      </c>
      <c r="D31" s="4" t="n">
        <v>7697.71</v>
      </c>
      <c r="E31" s="11" t="n">
        <v>0</v>
      </c>
    </row>
    <row r="32">
      <c r="A32" s="12" t="inlineStr">
        <is>
          <t>Unallocated Cash 未分配现金</t>
        </is>
      </c>
      <c r="B32" s="13" t="n">
        <v>65640.28</v>
      </c>
      <c r="C32" s="13" t="n">
        <v>187771.02</v>
      </c>
      <c r="D32" s="13" t="n">
        <v>303451.07</v>
      </c>
      <c r="E32" s="15" t="n">
        <v>0</v>
      </c>
    </row>
    <row r="33">
      <c r="A33" s="16" t="inlineStr">
        <is>
          <t>Dual-View NAV 双账户法NAV</t>
        </is>
      </c>
      <c r="B33" s="4" t="n">
        <v>1136582.09</v>
      </c>
      <c r="C33" s="4" t="n">
        <v>1124813.55</v>
      </c>
      <c r="D33" s="4" t="n">
        <v>1099527.27</v>
      </c>
      <c r="E33" s="4" t="n">
        <v>991773.6899999999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397928.85</v>
      </c>
      <c r="C39" s="4" t="n">
        <v>496017.27</v>
      </c>
      <c r="D39" s="4" t="n">
        <v>421016.85</v>
      </c>
      <c r="E39" s="4" t="n">
        <v>482414.44</v>
      </c>
    </row>
    <row r="40">
      <c r="A40" s="12" t="inlineStr">
        <is>
          <t>Restricted Cash 受限现金 (PB 102%)</t>
        </is>
      </c>
      <c r="B40" s="13" t="n">
        <v>178908.43</v>
      </c>
      <c r="C40" s="13" t="n">
        <v>79198.61</v>
      </c>
      <c r="D40" s="13" t="n">
        <v>150413.23</v>
      </c>
      <c r="E40" s="13" t="n">
        <v>88856.36</v>
      </c>
    </row>
    <row r="41">
      <c r="A41" s="10" t="inlineStr">
        <is>
          <t>Long Securities 多头证券</t>
        </is>
      </c>
      <c r="B41" s="4" t="n">
        <v>176276.86</v>
      </c>
      <c r="C41" s="4" t="n">
        <v>78180.96000000001</v>
      </c>
      <c r="D41" s="4" t="n">
        <v>148107.49</v>
      </c>
      <c r="E41" s="4" t="n">
        <v>90309.06</v>
      </c>
    </row>
    <row r="42">
      <c r="A42" s="14" t="inlineStr">
        <is>
          <t>Total Assets 总资产</t>
        </is>
      </c>
      <c r="B42" s="13" t="n">
        <v>753114.14</v>
      </c>
      <c r="C42" s="13" t="n">
        <v>653396.84</v>
      </c>
      <c r="D42" s="13" t="n">
        <v>719537.5699999999</v>
      </c>
      <c r="E42" s="13" t="n">
        <v>661579.86</v>
      </c>
    </row>
    <row r="43">
      <c r="A43" s="10" t="inlineStr">
        <is>
          <t>Short Securities 空头证券 (义务)</t>
        </is>
      </c>
      <c r="B43" s="4" t="n">
        <v>175400.42</v>
      </c>
      <c r="C43" s="4" t="n">
        <v>77645.7</v>
      </c>
      <c r="D43" s="4" t="n">
        <v>147463.95</v>
      </c>
      <c r="E43" s="4" t="n">
        <v>87114.08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175400.42</v>
      </c>
      <c r="C45" s="4" t="n">
        <v>77645.7</v>
      </c>
      <c r="D45" s="4" t="n">
        <v>147463.95</v>
      </c>
      <c r="E45" s="4" t="n">
        <v>87114.08</v>
      </c>
    </row>
    <row r="46">
      <c r="A46" s="14" t="inlineStr">
        <is>
          <t>NAV (Equity) 净值 = TA - TL</t>
        </is>
      </c>
      <c r="B46" s="13" t="n">
        <v>577713.72</v>
      </c>
      <c r="C46" s="13" t="n">
        <v>575751.14</v>
      </c>
      <c r="D46" s="13" t="n">
        <v>572073.62</v>
      </c>
      <c r="E46" s="13" t="n">
        <v>574465.78</v>
      </c>
    </row>
    <row r="47">
      <c r="A47" s="10" t="inlineStr">
        <is>
          <t>Gross Leverage 总杠杆 (x)</t>
        </is>
      </c>
      <c r="B47" s="7" t="n">
        <v>0.609</v>
      </c>
      <c r="C47" s="7" t="n">
        <v>0.271</v>
      </c>
      <c r="D47" s="7" t="n">
        <v>0.517</v>
      </c>
      <c r="E47" s="7" t="n">
        <v>0.309</v>
      </c>
    </row>
    <row r="48">
      <c r="A48" s="12" t="inlineStr">
        <is>
          <t>Net Leverage 净杠杆 (x)</t>
        </is>
      </c>
      <c r="B48" s="17" t="n">
        <v>0.002</v>
      </c>
      <c r="C48" s="17" t="n">
        <v>0.001</v>
      </c>
      <c r="D48" s="17" t="n">
        <v>0.001</v>
      </c>
      <c r="E48" s="17" t="n">
        <v>0.006</v>
      </c>
    </row>
    <row r="49">
      <c r="A49" s="10" t="inlineStr">
        <is>
          <t>PM Requirement (20%)</t>
        </is>
      </c>
      <c r="B49" s="4" t="n">
        <v>70335.46000000001</v>
      </c>
      <c r="C49" s="4" t="n">
        <v>31165.33</v>
      </c>
      <c r="D49" s="4" t="n">
        <v>59114.29</v>
      </c>
      <c r="E49" s="4" t="n">
        <v>35484.63</v>
      </c>
    </row>
    <row r="50">
      <c r="A50" s="12" t="inlineStr">
        <is>
          <t>Excess Liquidity 超额流动性</t>
        </is>
      </c>
      <c r="B50" s="13" t="n">
        <v>507378.26</v>
      </c>
      <c r="C50" s="13" t="n">
        <v>544585.8100000001</v>
      </c>
      <c r="D50" s="13" t="n">
        <v>512959.33</v>
      </c>
      <c r="E50" s="13" t="n">
        <v>538981.15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176276.86</v>
      </c>
      <c r="C55" s="4" t="n">
        <v>78180.96000000001</v>
      </c>
      <c r="D55" s="4" t="n">
        <v>148107.49</v>
      </c>
      <c r="E55" s="4" t="n">
        <v>90309.06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176276.86</v>
      </c>
      <c r="C57" s="4" t="n">
        <v>78180.96000000001</v>
      </c>
      <c r="D57" s="4" t="n">
        <v>148107.49</v>
      </c>
      <c r="E57" s="4" t="n">
        <v>90309.06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176276.86</v>
      </c>
      <c r="C59" s="4" t="n">
        <v>78180.96000000001</v>
      </c>
      <c r="D59" s="4" t="n">
        <v>148107.49</v>
      </c>
      <c r="E59" s="4" t="n">
        <v>90309.06</v>
      </c>
    </row>
    <row r="60">
      <c r="A60" s="12" t="inlineStr">
        <is>
          <t>Short Book — Allocated Capital 分配资本</t>
        </is>
      </c>
      <c r="B60" s="13" t="n">
        <v>3508.01</v>
      </c>
      <c r="C60" s="13" t="n">
        <v>1552.91</v>
      </c>
      <c r="D60" s="13" t="n">
        <v>2949.28</v>
      </c>
      <c r="E60" s="13" t="n">
        <v>1742.28</v>
      </c>
    </row>
    <row r="61">
      <c r="A61" s="10" t="inlineStr">
        <is>
          <t>Short Book — Collateral 担保金</t>
        </is>
      </c>
      <c r="B61" s="4" t="n">
        <v>3508.01</v>
      </c>
      <c r="C61" s="4" t="n">
        <v>1552.91</v>
      </c>
      <c r="D61" s="4" t="n">
        <v>2949.28</v>
      </c>
      <c r="E61" s="4" t="n">
        <v>1742.28</v>
      </c>
    </row>
    <row r="62">
      <c r="A62" s="12" t="inlineStr">
        <is>
          <t>Short Book — Short Proceeds 做空收入</t>
        </is>
      </c>
      <c r="B62" s="13" t="n">
        <v>175400.42</v>
      </c>
      <c r="C62" s="13" t="n">
        <v>77645.7</v>
      </c>
      <c r="D62" s="13" t="n">
        <v>147463.95</v>
      </c>
      <c r="E62" s="13" t="n">
        <v>87114.08</v>
      </c>
    </row>
    <row r="63">
      <c r="A63" s="10" t="inlineStr">
        <is>
          <t>Short Book — Market Value 市值(负债)</t>
        </is>
      </c>
      <c r="B63" s="4" t="n">
        <v>175400.42</v>
      </c>
      <c r="C63" s="4" t="n">
        <v>77645.7</v>
      </c>
      <c r="D63" s="4" t="n">
        <v>147463.95</v>
      </c>
      <c r="E63" s="4" t="n">
        <v>87114.08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3508.01</v>
      </c>
      <c r="C65" s="4" t="n">
        <v>1552.91</v>
      </c>
      <c r="D65" s="4" t="n">
        <v>2949.28</v>
      </c>
      <c r="E65" s="4" t="n">
        <v>1742.28</v>
      </c>
    </row>
    <row r="66">
      <c r="A66" s="12" t="inlineStr">
        <is>
          <t>Unallocated Cash 未分配现金</t>
        </is>
      </c>
      <c r="B66" s="13" t="n">
        <v>397928.85</v>
      </c>
      <c r="C66" s="13" t="n">
        <v>496017.27</v>
      </c>
      <c r="D66" s="13" t="n">
        <v>421016.85</v>
      </c>
      <c r="E66" s="13" t="n">
        <v>482414.44</v>
      </c>
    </row>
    <row r="67">
      <c r="A67" s="16" t="inlineStr">
        <is>
          <t>Dual-View NAV 双账户法NAV</t>
        </is>
      </c>
      <c r="B67" s="4" t="n">
        <v>577713.72</v>
      </c>
      <c r="C67" s="4" t="n">
        <v>575751.14</v>
      </c>
      <c r="D67" s="4" t="n">
        <v>572073.62</v>
      </c>
      <c r="E67" s="4" t="n">
        <v>574465.78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530742.1</v>
      </c>
      <c r="C74" s="13" t="n">
        <v>525184.89</v>
      </c>
      <c r="D74" s="13" t="n">
        <v>242170.18</v>
      </c>
      <c r="E74" s="13" t="n">
        <v>727615.65</v>
      </c>
    </row>
    <row r="75">
      <c r="A75" s="10" t="inlineStr">
        <is>
          <t>Long Securities 多头证券</t>
        </is>
      </c>
      <c r="B75" s="4" t="n">
        <v>880750.23</v>
      </c>
      <c r="C75" s="4" t="n">
        <v>847010.91</v>
      </c>
      <c r="D75" s="4" t="n">
        <v>640271</v>
      </c>
      <c r="E75" s="4" t="n">
        <v>1439759.58</v>
      </c>
    </row>
    <row r="76">
      <c r="A76" s="14" t="inlineStr">
        <is>
          <t>Total Assets 总资产</t>
        </is>
      </c>
      <c r="B76" s="13" t="n">
        <v>1411492.33</v>
      </c>
      <c r="C76" s="13" t="n">
        <v>1372195.8</v>
      </c>
      <c r="D76" s="13" t="n">
        <v>882441.1899999999</v>
      </c>
      <c r="E76" s="13" t="n">
        <v>2167375.23</v>
      </c>
    </row>
    <row r="77">
      <c r="A77" s="10" t="inlineStr">
        <is>
          <t>Short Securities 空头证券 (义务)</t>
        </is>
      </c>
      <c r="B77" s="4" t="n">
        <v>520335.39</v>
      </c>
      <c r="C77" s="4" t="n">
        <v>514887.15</v>
      </c>
      <c r="D77" s="4" t="n">
        <v>237421.75</v>
      </c>
      <c r="E77" s="4" t="n">
        <v>713348.6800000001</v>
      </c>
    </row>
    <row r="78">
      <c r="A78" s="12" t="inlineStr">
        <is>
          <t>Margin Loan 保证金借款</t>
        </is>
      </c>
      <c r="B78" s="13" t="n">
        <v>332288.57</v>
      </c>
      <c r="C78" s="13" t="n">
        <v>308246.24</v>
      </c>
      <c r="D78" s="13" t="n">
        <v>117565.78</v>
      </c>
      <c r="E78" s="13" t="n">
        <v>1036718.64</v>
      </c>
    </row>
    <row r="79">
      <c r="A79" s="16" t="inlineStr">
        <is>
          <t>Total Liabilities 总负债</t>
        </is>
      </c>
      <c r="B79" s="4" t="n">
        <v>852623.96</v>
      </c>
      <c r="C79" s="4" t="n">
        <v>823133.39</v>
      </c>
      <c r="D79" s="4" t="n">
        <v>354987.53</v>
      </c>
      <c r="E79" s="4" t="n">
        <v>1750067.32</v>
      </c>
    </row>
    <row r="80">
      <c r="A80" s="14" t="inlineStr">
        <is>
          <t>NAV (Equity) 净值 = TA - TL</t>
        </is>
      </c>
      <c r="B80" s="13" t="n">
        <v>558868.37</v>
      </c>
      <c r="C80" s="13" t="n">
        <v>549062.41</v>
      </c>
      <c r="D80" s="13" t="n">
        <v>527453.65</v>
      </c>
      <c r="E80" s="13" t="n">
        <v>417307.91</v>
      </c>
    </row>
    <row r="81">
      <c r="A81" s="10" t="inlineStr">
        <is>
          <t>Gross Leverage 总杠杆 (x)</t>
        </is>
      </c>
      <c r="B81" s="7" t="n">
        <v>2.507</v>
      </c>
      <c r="C81" s="7" t="n">
        <v>2.48</v>
      </c>
      <c r="D81" s="7" t="n">
        <v>1.664</v>
      </c>
      <c r="E81" s="7" t="n">
        <v>5.16</v>
      </c>
    </row>
    <row r="82">
      <c r="A82" s="12" t="inlineStr">
        <is>
          <t>Net Leverage 净杠杆 (x)</t>
        </is>
      </c>
      <c r="B82" s="17" t="n">
        <v>0.645</v>
      </c>
      <c r="C82" s="17" t="n">
        <v>0.605</v>
      </c>
      <c r="D82" s="17" t="n">
        <v>0.764</v>
      </c>
      <c r="E82" s="17" t="n">
        <v>1.741</v>
      </c>
    </row>
    <row r="83">
      <c r="A83" s="10" t="inlineStr">
        <is>
          <t>PM Requirement (20%)</t>
        </is>
      </c>
      <c r="B83" s="4" t="n">
        <v>280217.12</v>
      </c>
      <c r="C83" s="4" t="n">
        <v>272379.61</v>
      </c>
      <c r="D83" s="4" t="n">
        <v>175538.55</v>
      </c>
      <c r="E83" s="4" t="n">
        <v>430621.65</v>
      </c>
    </row>
    <row r="84">
      <c r="A84" s="12" t="inlineStr">
        <is>
          <t>Excess Liquidity 超额流动性</t>
        </is>
      </c>
      <c r="B84" s="13" t="n">
        <v>278651.25</v>
      </c>
      <c r="C84" s="13" t="n">
        <v>276682.8</v>
      </c>
      <c r="D84" s="13" t="n">
        <v>351915.1</v>
      </c>
      <c r="E84" s="18" t="n">
        <v>-13313.74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558868.37</v>
      </c>
      <c r="C89" s="4" t="n">
        <v>549062.41</v>
      </c>
      <c r="D89" s="4" t="n">
        <v>527453.65</v>
      </c>
      <c r="E89" s="4" t="n">
        <v>417307.91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880750.23</v>
      </c>
      <c r="C91" s="4" t="n">
        <v>847010.91</v>
      </c>
      <c r="D91" s="4" t="n">
        <v>640271</v>
      </c>
      <c r="E91" s="4" t="n">
        <v>1439759.58</v>
      </c>
    </row>
    <row r="92">
      <c r="A92" s="12" t="inlineStr">
        <is>
          <t>Long Book — Margin Loan 融资</t>
        </is>
      </c>
      <c r="B92" s="13" t="n">
        <v>321881.86</v>
      </c>
      <c r="C92" s="13" t="n">
        <v>297948.5</v>
      </c>
      <c r="D92" s="13" t="n">
        <v>112817.35</v>
      </c>
      <c r="E92" s="13" t="n">
        <v>1022451.67</v>
      </c>
    </row>
    <row r="93">
      <c r="A93" s="16" t="inlineStr">
        <is>
          <t>Long Book — NAV</t>
        </is>
      </c>
      <c r="B93" s="4" t="n">
        <v>558868.37</v>
      </c>
      <c r="C93" s="4" t="n">
        <v>549062.41</v>
      </c>
      <c r="D93" s="4" t="n">
        <v>527453.65</v>
      </c>
      <c r="E93" s="4" t="n">
        <v>417307.91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520335.39</v>
      </c>
      <c r="C96" s="13" t="n">
        <v>514887.15</v>
      </c>
      <c r="D96" s="13" t="n">
        <v>237421.75</v>
      </c>
      <c r="E96" s="13" t="n">
        <v>713348.6800000001</v>
      </c>
    </row>
    <row r="97">
      <c r="A97" s="10" t="inlineStr">
        <is>
          <t>Short Book — Market Value 市值(负债)</t>
        </is>
      </c>
      <c r="B97" s="4" t="n">
        <v>520335.39</v>
      </c>
      <c r="C97" s="4" t="n">
        <v>514887.15</v>
      </c>
      <c r="D97" s="4" t="n">
        <v>237421.75</v>
      </c>
      <c r="E97" s="4" t="n">
        <v>713348.6800000001</v>
      </c>
    </row>
    <row r="98">
      <c r="A98" s="12" t="inlineStr">
        <is>
          <t>Short Book — Margin Loan 融资(2%)</t>
        </is>
      </c>
      <c r="B98" s="13" t="n">
        <v>10406.71</v>
      </c>
      <c r="C98" s="13" t="n">
        <v>10297.74</v>
      </c>
      <c r="D98" s="13" t="n">
        <v>4748.44</v>
      </c>
      <c r="E98" s="13" t="n">
        <v>14266.97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558868.37</v>
      </c>
      <c r="C101" s="4" t="n">
        <v>549062.41</v>
      </c>
      <c r="D101" s="4" t="n">
        <v>527453.65</v>
      </c>
      <c r="E101" s="4" t="n">
        <v>417307.91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11768.54</v>
      </c>
      <c r="C5" s="4" t="n">
        <v>37054.82</v>
      </c>
      <c r="D5" s="4" t="n">
        <v>144808.4</v>
      </c>
      <c r="E5" s="4" t="n">
        <v>215083.3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21576.99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1962.58</v>
      </c>
      <c r="C11" s="4" t="n">
        <v>5640.1</v>
      </c>
      <c r="D11" s="4" t="n">
        <v>3247.94</v>
      </c>
      <c r="E11" s="4" t="n">
        <v>68381.78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3809.01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9805.959999999999</v>
      </c>
      <c r="C17" s="4" t="n">
        <v>31414.72</v>
      </c>
      <c r="D17" s="4" t="n">
        <v>141560.46</v>
      </c>
      <c r="E17" s="4" t="n">
        <v>146701.52</v>
      </c>
    </row>
    <row r="18">
      <c r="A18" s="12" t="inlineStr">
        <is>
          <t>Interest expense (est)</t>
        </is>
      </c>
      <c r="B18" s="15" t="n">
        <v>45.52</v>
      </c>
      <c r="C18" s="13" t="n">
        <v>227.59</v>
      </c>
      <c r="D18" s="13" t="n">
        <v>955.9</v>
      </c>
      <c r="E18" s="13" t="n">
        <v>7465.11</v>
      </c>
    </row>
    <row r="19">
      <c r="A19" s="10" t="inlineStr">
        <is>
          <t>Current unrealized PnL</t>
        </is>
      </c>
      <c r="B19" s="4" t="n">
        <v>17767.98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1124813.55</v>
      </c>
      <c r="C5" s="4" t="n">
        <v>1099527.27</v>
      </c>
      <c r="D5" s="4" t="n">
        <v>991773.6899999999</v>
      </c>
      <c r="E5" s="4" t="n">
        <v>921498.79</v>
      </c>
    </row>
    <row r="6">
      <c r="A6" s="12" t="inlineStr">
        <is>
          <t>Net income</t>
        </is>
      </c>
      <c r="B6" s="13" t="n">
        <v>11768.54</v>
      </c>
      <c r="C6" s="13" t="n">
        <v>37054.82</v>
      </c>
      <c r="D6" s="13" t="n">
        <v>144808.4</v>
      </c>
      <c r="E6" s="13" t="n">
        <v>215083.3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1136582.09</v>
      </c>
      <c r="C9" s="4" t="n">
        <v>1136582.09</v>
      </c>
      <c r="D9" s="4" t="n">
        <v>1136582.09</v>
      </c>
      <c r="E9" s="4" t="n">
        <v>1136582.09</v>
      </c>
    </row>
    <row r="10">
      <c r="A10" s="12" t="inlineStr">
        <is>
          <t>Return (%)</t>
        </is>
      </c>
      <c r="B10" s="19" t="n">
        <v>1.05</v>
      </c>
      <c r="C10" s="19" t="n">
        <v>3.37</v>
      </c>
      <c r="D10" s="19" t="n">
        <v>14.6</v>
      </c>
      <c r="E10" s="19" t="n">
        <v>23.34</v>
      </c>
    </row>
    <row r="11">
      <c r="A11" s="10" t="inlineStr">
        <is>
          <t>Max drawdown (%)</t>
        </is>
      </c>
      <c r="B11" s="20" t="n">
        <v>0</v>
      </c>
      <c r="C11" s="21" t="n">
        <v>-4.58</v>
      </c>
      <c r="D11" s="21" t="n">
        <v>-9.34</v>
      </c>
      <c r="E11" s="21" t="n">
        <v>-9.460000000000001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575751.14</v>
      </c>
      <c r="C15" s="4" t="n">
        <v>572073.62</v>
      </c>
      <c r="D15" s="4" t="n">
        <v>574465.78</v>
      </c>
      <c r="E15" s="4" t="n">
        <v>509331.94</v>
      </c>
    </row>
    <row r="16">
      <c r="A16" s="12" t="inlineStr">
        <is>
          <t>Net income</t>
        </is>
      </c>
      <c r="B16" s="13" t="n">
        <v>1962.58</v>
      </c>
      <c r="C16" s="13" t="n">
        <v>5640.1</v>
      </c>
      <c r="D16" s="13" t="n">
        <v>3247.94</v>
      </c>
      <c r="E16" s="13" t="n">
        <v>68381.78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577713.72</v>
      </c>
      <c r="C19" s="4" t="n">
        <v>577713.72</v>
      </c>
      <c r="D19" s="4" t="n">
        <v>577713.72</v>
      </c>
      <c r="E19" s="4" t="n">
        <v>577713.72</v>
      </c>
    </row>
    <row r="20">
      <c r="A20" s="12" t="inlineStr">
        <is>
          <t>Return (%)</t>
        </is>
      </c>
      <c r="B20" s="19" t="n">
        <v>0.34</v>
      </c>
      <c r="C20" s="19" t="n">
        <v>0.99</v>
      </c>
      <c r="D20" s="19" t="n">
        <v>0.57</v>
      </c>
      <c r="E20" s="19" t="n">
        <v>13.43</v>
      </c>
    </row>
    <row r="21">
      <c r="A21" s="10" t="inlineStr">
        <is>
          <t>Max drawdown (%)</t>
        </is>
      </c>
      <c r="B21" s="20" t="n">
        <v>0</v>
      </c>
      <c r="C21" s="21" t="n">
        <v>-0.27</v>
      </c>
      <c r="D21" s="21" t="n">
        <v>-2.01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549062.41</v>
      </c>
      <c r="C25" s="4" t="n">
        <v>527453.65</v>
      </c>
      <c r="D25" s="4" t="n">
        <v>417307.91</v>
      </c>
      <c r="E25" s="4" t="n">
        <v>412166.85</v>
      </c>
    </row>
    <row r="26">
      <c r="A26" s="12" t="inlineStr">
        <is>
          <t>Net income</t>
        </is>
      </c>
      <c r="B26" s="13" t="n">
        <v>9805.959999999999</v>
      </c>
      <c r="C26" s="13" t="n">
        <v>31414.72</v>
      </c>
      <c r="D26" s="13" t="n">
        <v>141560.46</v>
      </c>
      <c r="E26" s="13" t="n">
        <v>146701.52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558868.37</v>
      </c>
      <c r="C29" s="4" t="n">
        <v>558868.37</v>
      </c>
      <c r="D29" s="4" t="n">
        <v>558868.37</v>
      </c>
      <c r="E29" s="4" t="n">
        <v>558868.37</v>
      </c>
    </row>
    <row r="30">
      <c r="A30" s="12" t="inlineStr">
        <is>
          <t>Return (%)</t>
        </is>
      </c>
      <c r="B30" s="19" t="n">
        <v>1.79</v>
      </c>
      <c r="C30" s="19" t="n">
        <v>5.96</v>
      </c>
      <c r="D30" s="19" t="n">
        <v>33.92</v>
      </c>
      <c r="E30" s="19" t="n">
        <v>35.59</v>
      </c>
    </row>
    <row r="31">
      <c r="A31" s="10" t="inlineStr">
        <is>
          <t>Max drawdown (%)</t>
        </is>
      </c>
      <c r="B31" s="20" t="n">
        <v>0</v>
      </c>
      <c r="C31" s="21" t="n">
        <v>-9.91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37054.82</v>
      </c>
    </row>
    <row r="5">
      <c r="A5" s="3" t="inlineStr">
        <is>
          <t>Investing cash flow</t>
        </is>
      </c>
      <c r="B5" s="4" t="n">
        <v>42201.51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79256.33</v>
      </c>
    </row>
    <row r="8">
      <c r="A8" s="3" t="inlineStr">
        <is>
          <t>Beginning cash</t>
        </is>
      </c>
      <c r="B8" s="4" t="n">
        <v>303451.07</v>
      </c>
    </row>
    <row r="9">
      <c r="A9" s="3" t="inlineStr">
        <is>
          <t>Ending cash</t>
        </is>
      </c>
      <c r="B9" s="4" t="n">
        <v>65640.28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1011267.7</v>
      </c>
    </row>
    <row r="97">
      <c r="A97" s="12" t="inlineStr">
        <is>
          <t>2026-03-20</t>
        </is>
      </c>
      <c r="B97" s="13" t="n">
        <v>1025559.43</v>
      </c>
    </row>
    <row r="98">
      <c r="A98" s="10" t="inlineStr">
        <is>
          <t>2026-03-23</t>
        </is>
      </c>
      <c r="B98" s="4" t="n">
        <v>1027048.7</v>
      </c>
    </row>
    <row r="99">
      <c r="A99" s="12" t="inlineStr">
        <is>
          <t>2026-03-24</t>
        </is>
      </c>
      <c r="B99" s="13" t="n">
        <v>1015215.52</v>
      </c>
    </row>
    <row r="100">
      <c r="A100" s="10" t="inlineStr">
        <is>
          <t>2026-03-25</t>
        </is>
      </c>
      <c r="B100" s="4" t="n">
        <v>1002934.71</v>
      </c>
    </row>
    <row r="101">
      <c r="A101" s="12" t="inlineStr">
        <is>
          <t>2026-03-26</t>
        </is>
      </c>
      <c r="B101" s="13" t="n">
        <v>1012978.6</v>
      </c>
    </row>
    <row r="102">
      <c r="A102" s="10" t="inlineStr">
        <is>
          <t>2026-03-27</t>
        </is>
      </c>
      <c r="B102" s="4" t="n">
        <v>1026516.54</v>
      </c>
    </row>
    <row r="103">
      <c r="A103" s="12" t="inlineStr">
        <is>
          <t>2026-03-30</t>
        </is>
      </c>
      <c r="B103" s="13" t="n">
        <v>1053076.18</v>
      </c>
    </row>
    <row r="104">
      <c r="A104" s="10" t="inlineStr">
        <is>
          <t>2026-03-31</t>
        </is>
      </c>
      <c r="B104" s="4" t="n">
        <v>1050409.43</v>
      </c>
    </row>
    <row r="105">
      <c r="A105" s="12" t="inlineStr">
        <is>
          <t>2026-04-01</t>
        </is>
      </c>
      <c r="B105" s="13" t="n">
        <v>1049250.56</v>
      </c>
    </row>
    <row r="106">
      <c r="A106" s="10" t="inlineStr">
        <is>
          <t>2026-04-02</t>
        </is>
      </c>
      <c r="B106" s="4" t="n">
        <v>1048939.07</v>
      </c>
    </row>
    <row r="107">
      <c r="A107" s="12" t="inlineStr">
        <is>
          <t>2026-04-03</t>
        </is>
      </c>
      <c r="B107" s="13" t="n">
        <v>1042782.27</v>
      </c>
    </row>
    <row r="108">
      <c r="A108" s="10" t="inlineStr">
        <is>
          <t>2026-04-06</t>
        </is>
      </c>
      <c r="B108" s="4" t="n">
        <v>1048540.41</v>
      </c>
    </row>
    <row r="109">
      <c r="A109" s="12" t="inlineStr">
        <is>
          <t>2026-04-07</t>
        </is>
      </c>
      <c r="B109" s="13" t="n">
        <v>1042626.09</v>
      </c>
    </row>
    <row r="110">
      <c r="A110" s="10" t="inlineStr">
        <is>
          <t>2026-04-08</t>
        </is>
      </c>
      <c r="B110" s="4" t="n">
        <v>1044064.62</v>
      </c>
    </row>
    <row r="111">
      <c r="A111" s="12" t="inlineStr">
        <is>
          <t>2026-04-09</t>
        </is>
      </c>
      <c r="B111" s="13" t="n">
        <v>1070190.07</v>
      </c>
    </row>
    <row r="112">
      <c r="A112" s="10" t="inlineStr">
        <is>
          <t>2026-04-10</t>
        </is>
      </c>
      <c r="B112" s="4" t="n">
        <v>1061381.1</v>
      </c>
    </row>
    <row r="113">
      <c r="A113" s="12" t="inlineStr">
        <is>
          <t>2026-04-13</t>
        </is>
      </c>
      <c r="B113" s="13" t="n">
        <v>1074843.71</v>
      </c>
    </row>
    <row r="114">
      <c r="A114" s="10" t="inlineStr">
        <is>
          <t>2026-04-14</t>
        </is>
      </c>
      <c r="B114" s="4" t="n">
        <v>1080539.46</v>
      </c>
    </row>
    <row r="115">
      <c r="A115" s="12" t="inlineStr">
        <is>
          <t>2026-04-15</t>
        </is>
      </c>
      <c r="B115" s="13" t="n">
        <v>1087013.93</v>
      </c>
    </row>
    <row r="116">
      <c r="A116" s="10" t="inlineStr">
        <is>
          <t>2026-04-16</t>
        </is>
      </c>
      <c r="B116" s="4" t="n">
        <v>1071732.17</v>
      </c>
    </row>
    <row r="117">
      <c r="A117" s="12" t="inlineStr">
        <is>
          <t>2026-04-17</t>
        </is>
      </c>
      <c r="B117" s="13" t="n">
        <v>1065536.29</v>
      </c>
    </row>
    <row r="118">
      <c r="A118" s="10" t="inlineStr">
        <is>
          <t>2026-04-20</t>
        </is>
      </c>
      <c r="B118" s="4" t="n">
        <v>1080686.27</v>
      </c>
    </row>
    <row r="119">
      <c r="A119" s="12" t="inlineStr">
        <is>
          <t>2026-04-21</t>
        </is>
      </c>
      <c r="B119" s="13" t="n">
        <v>1075745.66</v>
      </c>
    </row>
    <row r="120">
      <c r="A120" s="10" t="inlineStr">
        <is>
          <t>2026-04-22</t>
        </is>
      </c>
      <c r="B120" s="4" t="n">
        <v>1071198.07</v>
      </c>
    </row>
    <row r="121">
      <c r="A121" s="12" t="inlineStr">
        <is>
          <t>2026-04-23</t>
        </is>
      </c>
      <c r="B121" s="13" t="n">
        <v>1073921.38</v>
      </c>
    </row>
    <row r="122">
      <c r="A122" s="10" t="inlineStr">
        <is>
          <t>2026-04-24</t>
        </is>
      </c>
      <c r="B122" s="4" t="n">
        <v>1074464.87</v>
      </c>
    </row>
    <row r="123">
      <c r="A123" s="12" t="inlineStr">
        <is>
          <t>2026-04-27</t>
        </is>
      </c>
      <c r="B123" s="13" t="n">
        <v>1084806.36</v>
      </c>
    </row>
    <row r="124">
      <c r="A124" s="10" t="inlineStr">
        <is>
          <t>2026-04-28</t>
        </is>
      </c>
      <c r="B124" s="4" t="n">
        <v>1085780.99</v>
      </c>
    </row>
    <row r="125">
      <c r="A125" s="12" t="inlineStr">
        <is>
          <t>2026-04-29</t>
        </is>
      </c>
      <c r="B125" s="13" t="n">
        <v>1092869.82</v>
      </c>
    </row>
    <row r="126">
      <c r="A126" s="10" t="inlineStr">
        <is>
          <t>2026-04-30</t>
        </is>
      </c>
      <c r="B126" s="4" t="n">
        <v>1093051.87</v>
      </c>
    </row>
    <row r="127">
      <c r="A127" s="12" t="inlineStr">
        <is>
          <t>2026-05-01</t>
        </is>
      </c>
      <c r="B127" s="13" t="n">
        <v>1053872.36</v>
      </c>
    </row>
    <row r="128">
      <c r="A128" s="10" t="inlineStr">
        <is>
          <t>2026-05-04</t>
        </is>
      </c>
      <c r="B128" s="4" t="n">
        <v>1050211.4</v>
      </c>
    </row>
    <row r="129">
      <c r="A129" s="12" t="inlineStr">
        <is>
          <t>2026-05-05</t>
        </is>
      </c>
      <c r="B129" s="13" t="n">
        <v>1044592.3</v>
      </c>
    </row>
    <row r="130">
      <c r="A130" s="10" t="inlineStr">
        <is>
          <t>2026-05-06</t>
        </is>
      </c>
      <c r="B130" s="4" t="n">
        <v>1033089.1</v>
      </c>
    </row>
    <row r="131">
      <c r="A131" s="12" t="inlineStr">
        <is>
          <t>2026-05-07</t>
        </is>
      </c>
      <c r="B131" s="13" t="n">
        <v>1040133.14</v>
      </c>
    </row>
    <row r="132">
      <c r="A132" s="10" t="inlineStr">
        <is>
          <t>2026-05-08</t>
        </is>
      </c>
      <c r="B132" s="4" t="n">
        <v>1037961.39</v>
      </c>
    </row>
    <row r="133">
      <c r="A133" s="12" t="inlineStr">
        <is>
          <t>2026-05-11</t>
        </is>
      </c>
      <c r="B133" s="13" t="n">
        <v>1019662.98</v>
      </c>
    </row>
    <row r="134">
      <c r="A134" s="10" t="inlineStr">
        <is>
          <t>2026-05-12</t>
        </is>
      </c>
      <c r="B134" s="4" t="n">
        <v>1014448.4</v>
      </c>
    </row>
    <row r="135">
      <c r="A135" s="12" t="inlineStr">
        <is>
          <t>2026-05-13</t>
        </is>
      </c>
      <c r="B135" s="13" t="n">
        <v>999507.12</v>
      </c>
    </row>
    <row r="136">
      <c r="A136" s="10" t="inlineStr">
        <is>
          <t>2026-05-14</t>
        </is>
      </c>
      <c r="B136" s="4" t="n">
        <v>1011705.6</v>
      </c>
    </row>
    <row r="137">
      <c r="A137" s="12" t="inlineStr">
        <is>
          <t>2026-05-15</t>
        </is>
      </c>
      <c r="B137" s="13" t="n">
        <v>1014861.55</v>
      </c>
    </row>
    <row r="138">
      <c r="A138" s="10" t="inlineStr">
        <is>
          <t>2026-05-18</t>
        </is>
      </c>
      <c r="B138" s="4" t="n">
        <v>1012199.68</v>
      </c>
    </row>
    <row r="139">
      <c r="A139" s="12" t="inlineStr">
        <is>
          <t>2026-05-19</t>
        </is>
      </c>
      <c r="B139" s="13" t="n">
        <v>998700.78</v>
      </c>
    </row>
    <row r="140">
      <c r="A140" s="10" t="inlineStr">
        <is>
          <t>2026-05-20</t>
        </is>
      </c>
      <c r="B140" s="4" t="n">
        <v>1014531.63</v>
      </c>
    </row>
    <row r="141">
      <c r="A141" s="12" t="inlineStr">
        <is>
          <t>2026-05-21</t>
        </is>
      </c>
      <c r="B141" s="13" t="n">
        <v>1023703.62</v>
      </c>
    </row>
    <row r="142">
      <c r="A142" s="10" t="inlineStr">
        <is>
          <t>2026-05-22</t>
        </is>
      </c>
      <c r="B142" s="4" t="n">
        <v>1023844.85</v>
      </c>
    </row>
    <row r="143">
      <c r="A143" s="12" t="inlineStr">
        <is>
          <t>2026-05-25</t>
        </is>
      </c>
      <c r="B143" s="13" t="n">
        <v>997176.6800000001</v>
      </c>
    </row>
    <row r="144">
      <c r="A144" s="10" t="inlineStr">
        <is>
          <t>2026-05-26</t>
        </is>
      </c>
      <c r="B144" s="4" t="n">
        <v>1016658.53</v>
      </c>
    </row>
    <row r="145">
      <c r="A145" s="12" t="inlineStr">
        <is>
          <t>2026-05-27</t>
        </is>
      </c>
      <c r="B145" s="13" t="n">
        <v>998042.9300000001</v>
      </c>
    </row>
    <row r="146">
      <c r="A146" s="10" t="inlineStr">
        <is>
          <t>2026-05-28</t>
        </is>
      </c>
      <c r="B146" s="4" t="n">
        <v>991773.6899999999</v>
      </c>
    </row>
    <row r="147">
      <c r="A147" s="12" t="inlineStr">
        <is>
          <t>2026-05-29</t>
        </is>
      </c>
      <c r="B147" s="13" t="n">
        <v>989689.5600000001</v>
      </c>
    </row>
    <row r="148">
      <c r="A148" s="10" t="inlineStr">
        <is>
          <t>2026-06-01</t>
        </is>
      </c>
      <c r="B148" s="4" t="n">
        <v>1005172.26</v>
      </c>
    </row>
    <row r="149">
      <c r="A149" s="12" t="inlineStr">
        <is>
          <t>2026-06-02</t>
        </is>
      </c>
      <c r="B149" s="13" t="n">
        <v>1099286.25</v>
      </c>
    </row>
    <row r="150">
      <c r="A150" s="10" t="inlineStr">
        <is>
          <t>2026-06-03</t>
        </is>
      </c>
      <c r="B150" s="4" t="n">
        <v>1107994.97</v>
      </c>
    </row>
    <row r="151">
      <c r="A151" s="12" t="inlineStr">
        <is>
          <t>2026-06-04</t>
        </is>
      </c>
      <c r="B151" s="13" t="n">
        <v>1111237.93</v>
      </c>
    </row>
    <row r="152">
      <c r="A152" s="10" t="inlineStr">
        <is>
          <t>2026-06-05</t>
        </is>
      </c>
      <c r="B152" s="4" t="n">
        <v>1007417.25</v>
      </c>
    </row>
    <row r="153">
      <c r="A153" s="12" t="inlineStr">
        <is>
          <t>2026-06-08</t>
        </is>
      </c>
      <c r="B153" s="13" t="n">
        <v>1063498.26</v>
      </c>
    </row>
    <row r="154">
      <c r="A154" s="10" t="inlineStr">
        <is>
          <t>2026-06-09</t>
        </is>
      </c>
      <c r="B154" s="4" t="n">
        <v>1055436.74</v>
      </c>
    </row>
    <row r="155">
      <c r="A155" s="12" t="inlineStr">
        <is>
          <t>2026-06-10</t>
        </is>
      </c>
      <c r="B155" s="13" t="n">
        <v>1054280.49</v>
      </c>
    </row>
    <row r="156">
      <c r="A156" s="10" t="inlineStr">
        <is>
          <t>2026-06-11</t>
        </is>
      </c>
      <c r="B156" s="4" t="n">
        <v>1134956.44</v>
      </c>
    </row>
    <row r="157">
      <c r="A157" s="12" t="inlineStr">
        <is>
          <t>2026-06-12</t>
        </is>
      </c>
      <c r="B157" s="13" t="n">
        <v>1147253.01</v>
      </c>
    </row>
    <row r="158">
      <c r="A158" s="10" t="inlineStr">
        <is>
          <t>2026-06-15</t>
        </is>
      </c>
      <c r="B158" s="4" t="n">
        <v>1147835.21</v>
      </c>
    </row>
    <row r="159">
      <c r="A159" s="12" t="inlineStr">
        <is>
          <t>2026-06-16</t>
        </is>
      </c>
      <c r="B159" s="13" t="n">
        <v>1115195.66</v>
      </c>
    </row>
    <row r="160">
      <c r="A160" s="10" t="inlineStr">
        <is>
          <t>2026-06-17</t>
        </is>
      </c>
      <c r="B160" s="4" t="n">
        <v>1125347.24</v>
      </c>
    </row>
    <row r="161">
      <c r="A161" s="12" t="inlineStr">
        <is>
          <t>2026-06-18</t>
        </is>
      </c>
      <c r="B161" s="13" t="n">
        <v>1142272.9</v>
      </c>
    </row>
    <row r="162">
      <c r="A162" s="10" t="inlineStr">
        <is>
          <t>2026-06-19</t>
        </is>
      </c>
      <c r="B162" s="4" t="n">
        <v>1099527.27</v>
      </c>
    </row>
    <row r="163">
      <c r="A163" s="12" t="inlineStr">
        <is>
          <t>2026-06-22</t>
        </is>
      </c>
      <c r="B163" s="13" t="n">
        <v>1158524.92</v>
      </c>
    </row>
    <row r="164">
      <c r="A164" s="10" t="inlineStr">
        <is>
          <t>2026-06-23</t>
        </is>
      </c>
      <c r="B164" s="4" t="n">
        <v>1135234.84</v>
      </c>
    </row>
    <row r="165">
      <c r="A165" s="12" t="inlineStr">
        <is>
          <t>2026-06-24</t>
        </is>
      </c>
      <c r="B165" s="13" t="n">
        <v>1105477.99</v>
      </c>
    </row>
    <row r="166">
      <c r="A166" s="10" t="inlineStr">
        <is>
          <t>2026-06-25</t>
        </is>
      </c>
      <c r="B166" s="4" t="n">
        <v>1124813.55</v>
      </c>
    </row>
    <row r="167">
      <c r="A167" s="12" t="inlineStr">
        <is>
          <t>2026-06-26</t>
        </is>
      </c>
      <c r="B167" s="13" t="n">
        <v>1136582.09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1136582.09</v>
      </c>
      <c r="C4" s="4" t="n">
        <v>1057027.09</v>
      </c>
      <c r="D4" s="4" t="n">
        <v>695735.8100000001</v>
      </c>
      <c r="E4" s="4" t="n">
        <v>1752762.9</v>
      </c>
      <c r="F4" s="4" t="n">
        <v>361291.28</v>
      </c>
      <c r="G4" s="5" t="n">
        <v>1.542</v>
      </c>
      <c r="H4" s="5" t="n">
        <v>0.318</v>
      </c>
      <c r="I4" s="5" t="n">
        <v>154.21</v>
      </c>
      <c r="J4" s="5" t="n">
        <v>77.11</v>
      </c>
      <c r="K4" s="22" t="n">
        <v>10</v>
      </c>
    </row>
    <row r="5">
      <c r="A5" s="12" t="inlineStr">
        <is>
          <t>MRPT</t>
        </is>
      </c>
      <c r="B5" s="13" t="n">
        <v>577713.72</v>
      </c>
      <c r="C5" s="13" t="n">
        <v>176276.86</v>
      </c>
      <c r="D5" s="13" t="n">
        <v>175400.42</v>
      </c>
      <c r="E5" s="13" t="n">
        <v>351677.28</v>
      </c>
      <c r="F5" s="13" t="n">
        <v>876.4400000000001</v>
      </c>
      <c r="G5" s="23" t="n">
        <v>0.609</v>
      </c>
      <c r="H5" s="23" t="n">
        <v>0.002</v>
      </c>
      <c r="I5" s="23" t="n">
        <v>60.87</v>
      </c>
      <c r="J5" s="23" t="n">
        <v>30.44</v>
      </c>
      <c r="K5" s="24" t="n">
        <v>2</v>
      </c>
    </row>
    <row r="6">
      <c r="A6" s="10" t="inlineStr">
        <is>
          <t>MTFS</t>
        </is>
      </c>
      <c r="B6" s="4" t="n">
        <v>558868.37</v>
      </c>
      <c r="C6" s="4" t="n">
        <v>880750.23</v>
      </c>
      <c r="D6" s="4" t="n">
        <v>520335.39</v>
      </c>
      <c r="E6" s="4" t="n">
        <v>1401085.62</v>
      </c>
      <c r="F6" s="4" t="n">
        <v>360414.84</v>
      </c>
      <c r="G6" s="5" t="n">
        <v>2.507</v>
      </c>
      <c r="H6" s="5" t="n">
        <v>0.645</v>
      </c>
      <c r="I6" s="5" t="n">
        <v>250.7</v>
      </c>
      <c r="J6" s="5" t="n">
        <v>125.35</v>
      </c>
      <c r="K6" s="22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5" t="inlineStr">
        <is>
          <t>HHI=0.1071  ·  effective N pairs=9.3  ·  max pair=15.09%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GLW</t>
        </is>
      </c>
      <c r="B6" s="4" t="n">
        <v>281175.6</v>
      </c>
      <c r="C6" s="4" t="n">
        <v>281175.6</v>
      </c>
      <c r="D6" s="20" t="n">
        <v>24.74</v>
      </c>
      <c r="E6" s="20" t="n">
        <v>16.04</v>
      </c>
      <c r="F6" s="22" t="n">
        <v>2</v>
      </c>
    </row>
    <row r="7">
      <c r="A7" s="12" t="inlineStr">
        <is>
          <t>IRM</t>
        </is>
      </c>
      <c r="B7" s="13" t="n">
        <v>231505.12</v>
      </c>
      <c r="C7" s="13" t="n">
        <v>231505.12</v>
      </c>
      <c r="D7" s="19" t="n">
        <v>20.37</v>
      </c>
      <c r="E7" s="19" t="n">
        <v>13.21</v>
      </c>
      <c r="F7" s="24" t="n">
        <v>2</v>
      </c>
    </row>
    <row r="8">
      <c r="A8" s="10" t="inlineStr">
        <is>
          <t>AMAT</t>
        </is>
      </c>
      <c r="B8" s="4" t="n">
        <v>139158.48</v>
      </c>
      <c r="C8" s="4" t="n">
        <v>139158.48</v>
      </c>
      <c r="D8" s="20" t="n">
        <v>12.24</v>
      </c>
      <c r="E8" s="20" t="n">
        <v>7.94</v>
      </c>
      <c r="F8" s="22" t="n">
        <v>1</v>
      </c>
    </row>
    <row r="9">
      <c r="A9" s="12" t="inlineStr">
        <is>
          <t>YUM</t>
        </is>
      </c>
      <c r="B9" s="13" t="n">
        <v>132635.68</v>
      </c>
      <c r="C9" s="13" t="n">
        <v>132635.68</v>
      </c>
      <c r="D9" s="19" t="n">
        <v>11.67</v>
      </c>
      <c r="E9" s="19" t="n">
        <v>7.57</v>
      </c>
      <c r="F9" s="24" t="n">
        <v>1</v>
      </c>
    </row>
    <row r="10">
      <c r="A10" s="10" t="inlineStr">
        <is>
          <t>HAS</t>
        </is>
      </c>
      <c r="B10" s="4" t="n">
        <v>131834.85</v>
      </c>
      <c r="C10" s="26" t="n">
        <v>-131834.85</v>
      </c>
      <c r="D10" s="20" t="n">
        <v>11.6</v>
      </c>
      <c r="E10" s="20" t="n">
        <v>7.52</v>
      </c>
      <c r="F10" s="22" t="n">
        <v>1</v>
      </c>
    </row>
    <row r="11">
      <c r="A11" s="12" t="inlineStr">
        <is>
          <t>TER</t>
        </is>
      </c>
      <c r="B11" s="13" t="n">
        <v>81692.82000000001</v>
      </c>
      <c r="C11" s="13" t="n">
        <v>81692.82000000001</v>
      </c>
      <c r="D11" s="19" t="n">
        <v>7.19</v>
      </c>
      <c r="E11" s="19" t="n">
        <v>4.66</v>
      </c>
      <c r="F11" s="24" t="n">
        <v>1</v>
      </c>
    </row>
    <row r="12">
      <c r="A12" s="10" t="inlineStr">
        <is>
          <t>NKE</t>
        </is>
      </c>
      <c r="B12" s="4" t="n">
        <v>80685</v>
      </c>
      <c r="C12" s="26" t="n">
        <v>-80685</v>
      </c>
      <c r="D12" s="20" t="n">
        <v>7.1</v>
      </c>
      <c r="E12" s="20" t="n">
        <v>4.6</v>
      </c>
      <c r="F12" s="22" t="n">
        <v>1</v>
      </c>
    </row>
    <row r="13">
      <c r="A13" s="12" t="inlineStr">
        <is>
          <t>PWR</t>
        </is>
      </c>
      <c r="B13" s="13" t="n">
        <v>79105.05</v>
      </c>
      <c r="C13" s="13" t="n">
        <v>79105.05</v>
      </c>
      <c r="D13" s="19" t="n">
        <v>6.96</v>
      </c>
      <c r="E13" s="19" t="n">
        <v>4.51</v>
      </c>
      <c r="F13" s="24" t="n">
        <v>1</v>
      </c>
    </row>
    <row r="14">
      <c r="A14" s="10" t="inlineStr">
        <is>
          <t>KMX</t>
        </is>
      </c>
      <c r="B14" s="4" t="n">
        <v>68113.16</v>
      </c>
      <c r="C14" s="4" t="n">
        <v>68113.16</v>
      </c>
      <c r="D14" s="20" t="n">
        <v>5.99</v>
      </c>
      <c r="E14" s="20" t="n">
        <v>3.89</v>
      </c>
      <c r="F14" s="22" t="n">
        <v>1</v>
      </c>
    </row>
    <row r="15">
      <c r="A15" s="12" t="inlineStr">
        <is>
          <t>LULU</t>
        </is>
      </c>
      <c r="B15" s="13" t="n">
        <v>68073.03</v>
      </c>
      <c r="C15" s="18" t="n">
        <v>-68073.03</v>
      </c>
      <c r="D15" s="19" t="n">
        <v>5.99</v>
      </c>
      <c r="E15" s="19" t="n">
        <v>3.88</v>
      </c>
      <c r="F15" s="24" t="n">
        <v>1</v>
      </c>
    </row>
    <row r="18">
      <c r="A18" s="27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502026.9</v>
      </c>
      <c r="C20" s="4" t="n">
        <v>125227.95</v>
      </c>
      <c r="D20" s="4" t="n">
        <v>376798.95</v>
      </c>
      <c r="E20" s="7" t="n">
        <v>21.5</v>
      </c>
    </row>
    <row r="21">
      <c r="A21" s="12" t="inlineStr">
        <is>
          <t>realestate</t>
        </is>
      </c>
      <c r="B21" s="13" t="n">
        <v>231505.12</v>
      </c>
      <c r="C21" s="15" t="n">
        <v>0</v>
      </c>
      <c r="D21" s="13" t="n">
        <v>231505.12</v>
      </c>
      <c r="E21" s="17" t="n">
        <v>13.21</v>
      </c>
    </row>
    <row r="22">
      <c r="A22" s="10" t="inlineStr">
        <is>
          <t>food</t>
        </is>
      </c>
      <c r="B22" s="4" t="n">
        <v>176276.86</v>
      </c>
      <c r="C22" s="4" t="n">
        <v>324158.45</v>
      </c>
      <c r="D22" s="26" t="n">
        <v>-147881.59</v>
      </c>
      <c r="E22" s="7" t="n">
        <v>-8.44</v>
      </c>
    </row>
    <row r="23">
      <c r="A23" s="12" t="inlineStr">
        <is>
          <t>telecom</t>
        </is>
      </c>
      <c r="B23" s="15" t="n">
        <v>0</v>
      </c>
      <c r="C23" s="13" t="n">
        <v>132321.65</v>
      </c>
      <c r="D23" s="18" t="n">
        <v>-132321.65</v>
      </c>
      <c r="E23" s="17" t="n">
        <v>-7.55</v>
      </c>
    </row>
    <row r="24">
      <c r="A24" s="10" t="inlineStr">
        <is>
          <t>other</t>
        </is>
      </c>
      <c r="B24" s="4" t="n">
        <v>68113.16</v>
      </c>
      <c r="C24" s="11" t="n">
        <v>0</v>
      </c>
      <c r="D24" s="4" t="n">
        <v>68113.16</v>
      </c>
      <c r="E24" s="7" t="n">
        <v>3.89</v>
      </c>
    </row>
    <row r="25">
      <c r="A25" s="12" t="inlineStr">
        <is>
          <t>health</t>
        </is>
      </c>
      <c r="B25" s="15" t="n">
        <v>0</v>
      </c>
      <c r="C25" s="13" t="n">
        <v>56658</v>
      </c>
      <c r="D25" s="18" t="n">
        <v>-56658</v>
      </c>
      <c r="E25" s="17" t="n">
        <v>-3.23</v>
      </c>
    </row>
    <row r="26">
      <c r="A26" s="10" t="inlineStr">
        <is>
          <t>industrial</t>
        </is>
      </c>
      <c r="B26" s="4" t="n">
        <v>79105.05</v>
      </c>
      <c r="C26" s="4" t="n">
        <v>57369.76</v>
      </c>
      <c r="D26" s="4" t="n">
        <v>21735.29</v>
      </c>
      <c r="E26" s="7" t="n">
        <v>1.24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1.778</v>
      </c>
    </row>
    <row r="4">
      <c r="A4" s="3" t="inlineStr">
        <is>
          <t>Gross beta</t>
        </is>
      </c>
      <c r="B4" s="5" t="n">
        <v>2.195</v>
      </c>
    </row>
    <row r="5">
      <c r="A5" s="3" t="inlineStr">
        <is>
          <t>Momentum factor net (% NAV)</t>
        </is>
      </c>
      <c r="B5" s="5" t="n">
        <v>31.71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7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21.5</v>
      </c>
    </row>
    <row r="11">
      <c r="A11" s="12" t="inlineStr">
        <is>
          <t>realestate</t>
        </is>
      </c>
      <c r="B11" s="19" t="n">
        <v>13.21</v>
      </c>
    </row>
    <row r="12">
      <c r="A12" s="10" t="inlineStr">
        <is>
          <t>food</t>
        </is>
      </c>
      <c r="B12" s="21" t="n">
        <v>-8.44</v>
      </c>
    </row>
    <row r="13">
      <c r="A13" s="12" t="inlineStr">
        <is>
          <t>telecom</t>
        </is>
      </c>
      <c r="B13" s="28" t="n">
        <v>-7.55</v>
      </c>
    </row>
    <row r="14">
      <c r="A14" s="10" t="inlineStr">
        <is>
          <t>other</t>
        </is>
      </c>
      <c r="B14" s="20" t="n">
        <v>3.89</v>
      </c>
    </row>
    <row r="15">
      <c r="A15" s="12" t="inlineStr">
        <is>
          <t>health</t>
        </is>
      </c>
      <c r="B15" s="28" t="n">
        <v>-3.23</v>
      </c>
    </row>
    <row r="16">
      <c r="A16" s="10" t="inlineStr">
        <is>
          <t>industrial</t>
        </is>
      </c>
      <c r="B16" s="20" t="n">
        <v>1.24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42409.64</v>
      </c>
    </row>
    <row r="4">
      <c r="A4" s="3" t="inlineStr">
        <is>
          <t>Parametric VaR 99% 1d ($)</t>
        </is>
      </c>
      <c r="B4" s="4" t="n">
        <v>59966.46</v>
      </c>
    </row>
    <row r="5">
      <c r="A5" s="3" t="inlineStr">
        <is>
          <t>Annual vol ($)</t>
        </is>
      </c>
      <c r="B5" s="4" t="n">
        <v>409259.66</v>
      </c>
    </row>
    <row r="6">
      <c r="A6" s="3" t="inlineStr">
        <is>
          <t>Annual vol (% NAV)</t>
        </is>
      </c>
      <c r="B6" s="5" t="n">
        <v>36.01</v>
      </c>
    </row>
    <row r="7">
      <c r="A7" s="3" t="inlineStr">
        <is>
          <t>Historical VaR 95% 1d ($)</t>
        </is>
      </c>
      <c r="B7" s="4" t="n">
        <v>36613.02</v>
      </c>
    </row>
    <row r="8">
      <c r="A8" s="3" t="inlineStr">
        <is>
          <t>Historical CVaR 95% 1d ($)</t>
        </is>
      </c>
      <c r="B8" s="4" t="n">
        <v>44497.62</v>
      </c>
    </row>
    <row r="10">
      <c r="A10" s="27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GLW/FOXA</t>
        </is>
      </c>
      <c r="B12" s="4" t="n">
        <v>10075.39</v>
      </c>
      <c r="C12" s="7" t="n">
        <v>23.76</v>
      </c>
    </row>
    <row r="13">
      <c r="A13" s="12" t="inlineStr">
        <is>
          <t>GLW/FOX</t>
        </is>
      </c>
      <c r="B13" s="13" t="n">
        <v>10015.69</v>
      </c>
      <c r="C13" s="17" t="n">
        <v>23.62</v>
      </c>
    </row>
    <row r="14">
      <c r="A14" s="10" t="inlineStr">
        <is>
          <t>AMAT/LULU</t>
        </is>
      </c>
      <c r="B14" s="4" t="n">
        <v>6745.22</v>
      </c>
      <c r="C14" s="7" t="n">
        <v>15.9</v>
      </c>
    </row>
    <row r="15">
      <c r="A15" s="12" t="inlineStr">
        <is>
          <t>TER/ISRG</t>
        </is>
      </c>
      <c r="B15" s="13" t="n">
        <v>5041.32</v>
      </c>
      <c r="C15" s="17" t="n">
        <v>11.89</v>
      </c>
    </row>
    <row r="16">
      <c r="A16" s="10" t="inlineStr">
        <is>
          <t>PWR/NKE</t>
        </is>
      </c>
      <c r="B16" s="4" t="n">
        <v>3714.31</v>
      </c>
      <c r="C16" s="7" t="n">
        <v>8.76</v>
      </c>
    </row>
    <row r="17">
      <c r="A17" s="12" t="inlineStr">
        <is>
          <t>KMX/TYL</t>
        </is>
      </c>
      <c r="B17" s="13" t="n">
        <v>2746.93</v>
      </c>
      <c r="C17" s="17" t="n">
        <v>6.48</v>
      </c>
    </row>
    <row r="18">
      <c r="A18" s="10" t="inlineStr">
        <is>
          <t>IRM/MSFT</t>
        </is>
      </c>
      <c r="B18" s="4" t="n">
        <v>2607.82</v>
      </c>
      <c r="C18" s="7" t="n">
        <v>6.15</v>
      </c>
    </row>
    <row r="19">
      <c r="A19" s="12" t="inlineStr">
        <is>
          <t>IRM/EFX</t>
        </is>
      </c>
      <c r="B19" s="13" t="n">
        <v>2265.64</v>
      </c>
      <c r="C19" s="17" t="n">
        <v>5.34</v>
      </c>
    </row>
    <row r="20">
      <c r="A20" s="10" t="inlineStr">
        <is>
          <t>CL/PM</t>
        </is>
      </c>
      <c r="B20" s="26" t="n">
        <v>-158.9</v>
      </c>
      <c r="C20" s="7" t="n">
        <v>-0.37</v>
      </c>
    </row>
    <row r="21">
      <c r="A21" s="12" t="inlineStr">
        <is>
          <t>HAS/YUM</t>
        </is>
      </c>
      <c r="B21" s="18" t="n">
        <v>-643.76</v>
      </c>
      <c r="C21" s="17" t="n">
        <v>-1.52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5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HAS/YUM</t>
        </is>
      </c>
      <c r="C6" s="4" t="n">
        <v>1545</v>
      </c>
      <c r="D6" s="4" t="n">
        <v>1789637</v>
      </c>
      <c r="E6" s="7" t="n">
        <v>0</v>
      </c>
    </row>
    <row r="7">
      <c r="A7" s="12" t="inlineStr">
        <is>
          <t>YUM</t>
        </is>
      </c>
      <c r="B7" s="17" t="inlineStr">
        <is>
          <t>HAS/YUM</t>
        </is>
      </c>
      <c r="C7" s="13" t="n">
        <v>848</v>
      </c>
      <c r="D7" s="13" t="n">
        <v>2322390</v>
      </c>
      <c r="E7" s="17" t="n">
        <v>0</v>
      </c>
    </row>
    <row r="8">
      <c r="A8" s="10" t="inlineStr">
        <is>
          <t>CL</t>
        </is>
      </c>
      <c r="B8" s="7" t="inlineStr">
        <is>
          <t>CL/PM</t>
        </is>
      </c>
      <c r="C8" s="4" t="n">
        <v>474</v>
      </c>
      <c r="D8" s="4" t="n">
        <v>5954337</v>
      </c>
      <c r="E8" s="7" t="n">
        <v>0</v>
      </c>
    </row>
    <row r="9">
      <c r="A9" s="12" t="inlineStr">
        <is>
          <t>PM</t>
        </is>
      </c>
      <c r="B9" s="17" t="inlineStr">
        <is>
          <t>CL/PM</t>
        </is>
      </c>
      <c r="C9" s="13" t="n">
        <v>241</v>
      </c>
      <c r="D9" s="13" t="n">
        <v>5059432</v>
      </c>
      <c r="E9" s="17" t="n">
        <v>0</v>
      </c>
    </row>
    <row r="10">
      <c r="A10" s="10" t="inlineStr">
        <is>
          <t>GLW</t>
        </is>
      </c>
      <c r="B10" s="7" t="inlineStr">
        <is>
          <t>GLW/FOX</t>
        </is>
      </c>
      <c r="C10" s="4" t="n">
        <v>636</v>
      </c>
      <c r="D10" s="4" t="n">
        <v>16364802</v>
      </c>
      <c r="E10" s="7" t="n">
        <v>0</v>
      </c>
    </row>
    <row r="11">
      <c r="A11" s="12" t="inlineStr">
        <is>
          <t>FOX</t>
        </is>
      </c>
      <c r="B11" s="17" t="inlineStr">
        <is>
          <t>GLW/FOX</t>
        </is>
      </c>
      <c r="C11" s="13" t="n">
        <v>1445</v>
      </c>
      <c r="D11" s="13" t="n">
        <v>2679161</v>
      </c>
      <c r="E11" s="17" t="n">
        <v>0</v>
      </c>
    </row>
    <row r="12">
      <c r="A12" s="10" t="inlineStr">
        <is>
          <t>IRM</t>
        </is>
      </c>
      <c r="B12" s="7" t="inlineStr">
        <is>
          <t>IRM/EFX</t>
        </is>
      </c>
      <c r="C12" s="4" t="n">
        <v>874</v>
      </c>
      <c r="D12" s="4" t="n">
        <v>1607903</v>
      </c>
      <c r="E12" s="7" t="n">
        <v>0</v>
      </c>
    </row>
    <row r="13">
      <c r="A13" s="12" t="inlineStr">
        <is>
          <t>EFX</t>
        </is>
      </c>
      <c r="B13" s="17" t="inlineStr">
        <is>
          <t>IRM/EFX</t>
        </is>
      </c>
      <c r="C13" s="13" t="n">
        <v>362</v>
      </c>
      <c r="D13" s="13" t="n">
        <v>1959305</v>
      </c>
      <c r="E13" s="17" t="n">
        <v>0</v>
      </c>
    </row>
    <row r="14">
      <c r="A14" s="10" t="inlineStr">
        <is>
          <t>AMAT</t>
        </is>
      </c>
      <c r="B14" s="7" t="inlineStr">
        <is>
          <t>AMAT/LULU</t>
        </is>
      </c>
      <c r="C14" s="4" t="n">
        <v>222</v>
      </c>
      <c r="D14" s="4" t="n">
        <v>11215625</v>
      </c>
      <c r="E14" s="7" t="n">
        <v>0</v>
      </c>
    </row>
    <row r="15">
      <c r="A15" s="12" t="inlineStr">
        <is>
          <t>LULU</t>
        </is>
      </c>
      <c r="B15" s="17" t="inlineStr">
        <is>
          <t>AMAT/LULU</t>
        </is>
      </c>
      <c r="C15" s="13" t="n">
        <v>579</v>
      </c>
      <c r="D15" s="13" t="n">
        <v>4185342</v>
      </c>
      <c r="E15" s="17" t="n">
        <v>0</v>
      </c>
    </row>
    <row r="16">
      <c r="A16" s="10" t="inlineStr">
        <is>
          <t>TER</t>
        </is>
      </c>
      <c r="B16" s="7" t="inlineStr">
        <is>
          <t>TER/ISRG</t>
        </is>
      </c>
      <c r="C16" s="4" t="n">
        <v>187</v>
      </c>
      <c r="D16" s="4" t="n">
        <v>5306199</v>
      </c>
      <c r="E16" s="7" t="n">
        <v>0</v>
      </c>
    </row>
    <row r="17">
      <c r="A17" s="12" t="inlineStr">
        <is>
          <t>ISRG</t>
        </is>
      </c>
      <c r="B17" s="17" t="inlineStr">
        <is>
          <t>TER/ISRG</t>
        </is>
      </c>
      <c r="C17" s="13" t="n">
        <v>140</v>
      </c>
      <c r="D17" s="13" t="n">
        <v>2681415</v>
      </c>
      <c r="E17" s="17" t="n">
        <v>0</v>
      </c>
    </row>
    <row r="18">
      <c r="A18" s="10" t="inlineStr">
        <is>
          <t>PWR</t>
        </is>
      </c>
      <c r="B18" s="7" t="inlineStr">
        <is>
          <t>PWR/NKE</t>
        </is>
      </c>
      <c r="C18" s="4" t="n">
        <v>115</v>
      </c>
      <c r="D18" s="4" t="n">
        <v>1520598</v>
      </c>
      <c r="E18" s="7" t="n">
        <v>0</v>
      </c>
    </row>
    <row r="19">
      <c r="A19" s="12" t="inlineStr">
        <is>
          <t>NKE</t>
        </is>
      </c>
      <c r="B19" s="17" t="inlineStr">
        <is>
          <t>PWR/NKE</t>
        </is>
      </c>
      <c r="C19" s="13" t="n">
        <v>1980</v>
      </c>
      <c r="D19" s="13" t="n">
        <v>23969471</v>
      </c>
      <c r="E19" s="17" t="n">
        <v>0</v>
      </c>
    </row>
    <row r="20">
      <c r="A20" s="10" t="inlineStr">
        <is>
          <t>IRM</t>
        </is>
      </c>
      <c r="B20" s="7" t="inlineStr">
        <is>
          <t>IRM/MSFT</t>
        </is>
      </c>
      <c r="C20" s="4" t="n">
        <v>874</v>
      </c>
      <c r="D20" s="4" t="n">
        <v>1607903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26" t="n">
        <v>-101042.15</v>
      </c>
      <c r="C4" s="21" t="n">
        <v>-8.890000000000001</v>
      </c>
    </row>
    <row r="5">
      <c r="A5" s="12" t="inlineStr">
        <is>
          <t>SPY -10%</t>
        </is>
      </c>
      <c r="B5" s="18" t="n">
        <v>-202084.3</v>
      </c>
      <c r="C5" s="28" t="n">
        <v>-17.78</v>
      </c>
    </row>
    <row r="6">
      <c r="A6" s="10" t="inlineStr">
        <is>
          <t>VIX +10pt</t>
        </is>
      </c>
      <c r="B6" s="26" t="n">
        <v>-101042.15</v>
      </c>
      <c r="C6" s="21" t="n">
        <v>-8.890000000000001</v>
      </c>
    </row>
    <row r="7">
      <c r="A7" s="12" t="inlineStr">
        <is>
          <t>Top sector -10%</t>
        </is>
      </c>
      <c r="B7" s="18" t="n">
        <v>-37679.9</v>
      </c>
      <c r="C7" s="28" t="n">
        <v>-3.32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0.61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2.51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0.65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1" t="inlineStr">
        <is>
          <t>single_name_gross</t>
        </is>
      </c>
      <c r="B8" s="32" t="inlineStr">
        <is>
          <t>GLW</t>
        </is>
      </c>
      <c r="C8" s="32" t="n">
        <v>24.74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IRM</t>
        </is>
      </c>
      <c r="C9" s="32" t="n">
        <v>20.37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AMAT</t>
        </is>
      </c>
      <c r="C10" s="30" t="n">
        <v>12.24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21.5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15.09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1.78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3.73</v>
      </c>
      <c r="D14" s="32" t="n">
        <v>3</v>
      </c>
      <c r="E14" s="32" t="n">
        <v>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HAS/YUM</t>
        </is>
      </c>
      <c r="C4" s="17" t="inlineStr">
        <is>
          <t>HAS</t>
        </is>
      </c>
      <c r="D4" s="17" t="inlineStr">
        <is>
          <t>short</t>
        </is>
      </c>
      <c r="E4" s="24" t="n">
        <v>-1545</v>
      </c>
      <c r="F4" s="15" t="n">
        <v>85.33</v>
      </c>
      <c r="G4" s="18" t="n">
        <v>-131834.85</v>
      </c>
      <c r="H4" s="17" t="inlineStr">
        <is>
          <t>food</t>
        </is>
      </c>
      <c r="I4" s="17" t="n">
        <v>0</v>
      </c>
      <c r="J4" s="17" t="inlineStr">
        <is>
          <t>aggressive</t>
        </is>
      </c>
    </row>
    <row r="5">
      <c r="A5" s="10" t="inlineStr">
        <is>
          <t>MRPT</t>
        </is>
      </c>
      <c r="B5" s="7" t="inlineStr">
        <is>
          <t>HAS/YUM</t>
        </is>
      </c>
      <c r="C5" s="7" t="inlineStr">
        <is>
          <t>YUM</t>
        </is>
      </c>
      <c r="D5" s="7" t="inlineStr">
        <is>
          <t>long</t>
        </is>
      </c>
      <c r="E5" s="22" t="n">
        <v>848</v>
      </c>
      <c r="F5" s="4" t="n">
        <v>156.41</v>
      </c>
      <c r="G5" s="4" t="n">
        <v>132635.68</v>
      </c>
      <c r="H5" s="7" t="inlineStr">
        <is>
          <t>food</t>
        </is>
      </c>
      <c r="I5" s="7" t="n">
        <v>0</v>
      </c>
      <c r="J5" s="7" t="inlineStr">
        <is>
          <t>aggressive</t>
        </is>
      </c>
    </row>
    <row r="6">
      <c r="A6" s="12" t="inlineStr">
        <is>
          <t>MRPT</t>
        </is>
      </c>
      <c r="B6" s="17" t="inlineStr">
        <is>
          <t>CL/PM</t>
        </is>
      </c>
      <c r="C6" s="17" t="inlineStr">
        <is>
          <t>CL</t>
        </is>
      </c>
      <c r="D6" s="17" t="inlineStr">
        <is>
          <t>long</t>
        </is>
      </c>
      <c r="E6" s="24" t="n">
        <v>474</v>
      </c>
      <c r="F6" s="15" t="n">
        <v>92.06999999999999</v>
      </c>
      <c r="G6" s="13" t="n">
        <v>43641.18</v>
      </c>
      <c r="H6" s="17" t="inlineStr">
        <is>
          <t>food</t>
        </is>
      </c>
      <c r="I6" s="17" t="n">
        <v>0</v>
      </c>
      <c r="J6" s="17" t="inlineStr">
        <is>
          <t>flash_hold</t>
        </is>
      </c>
    </row>
    <row r="7">
      <c r="A7" s="10" t="inlineStr">
        <is>
          <t>MRPT</t>
        </is>
      </c>
      <c r="B7" s="7" t="inlineStr">
        <is>
          <t>CL/PM</t>
        </is>
      </c>
      <c r="C7" s="7" t="inlineStr">
        <is>
          <t>PM</t>
        </is>
      </c>
      <c r="D7" s="7" t="inlineStr">
        <is>
          <t>short</t>
        </is>
      </c>
      <c r="E7" s="22" t="n">
        <v>-241</v>
      </c>
      <c r="F7" s="4" t="n">
        <v>180.77</v>
      </c>
      <c r="G7" s="26" t="n">
        <v>-43565.57</v>
      </c>
      <c r="H7" s="7" t="inlineStr">
        <is>
          <t>food</t>
        </is>
      </c>
      <c r="I7" s="7" t="n">
        <v>0</v>
      </c>
      <c r="J7" s="7" t="inlineStr">
        <is>
          <t>flash_hold</t>
        </is>
      </c>
    </row>
    <row r="8">
      <c r="A8" s="12" t="inlineStr">
        <is>
          <t>MTFS</t>
        </is>
      </c>
      <c r="B8" s="17" t="inlineStr">
        <is>
          <t>GLW/FOX</t>
        </is>
      </c>
      <c r="C8" s="17" t="inlineStr">
        <is>
          <t>GLW</t>
        </is>
      </c>
      <c r="D8" s="17" t="inlineStr">
        <is>
          <t>long</t>
        </is>
      </c>
      <c r="E8" s="24" t="n">
        <v>636</v>
      </c>
      <c r="F8" s="13" t="n">
        <v>221.05</v>
      </c>
      <c r="G8" s="13" t="n">
        <v>140587.8</v>
      </c>
      <c r="H8" s="17" t="inlineStr">
        <is>
          <t>tech</t>
        </is>
      </c>
      <c r="I8" s="17" t="n">
        <v>1</v>
      </c>
      <c r="J8" s="17" t="inlineStr">
        <is>
          <t>monthly_aligned_windows</t>
        </is>
      </c>
    </row>
    <row r="9">
      <c r="A9" s="10" t="inlineStr">
        <is>
          <t>MTFS</t>
        </is>
      </c>
      <c r="B9" s="7" t="inlineStr">
        <is>
          <t>GLW/FOX</t>
        </is>
      </c>
      <c r="C9" s="7" t="inlineStr">
        <is>
          <t>FOX</t>
        </is>
      </c>
      <c r="D9" s="7" t="inlineStr">
        <is>
          <t>short</t>
        </is>
      </c>
      <c r="E9" s="22" t="n">
        <v>-1445</v>
      </c>
      <c r="F9" s="11" t="n">
        <v>45.91</v>
      </c>
      <c r="G9" s="26" t="n">
        <v>-66339.95</v>
      </c>
      <c r="H9" s="7" t="inlineStr">
        <is>
          <t>telecom</t>
        </is>
      </c>
      <c r="I9" s="7" t="n">
        <v>1</v>
      </c>
      <c r="J9" s="7" t="inlineStr">
        <is>
          <t>monthly_aligned_windows</t>
        </is>
      </c>
    </row>
    <row r="10">
      <c r="A10" s="12" t="inlineStr">
        <is>
          <t>MTFS</t>
        </is>
      </c>
      <c r="B10" s="17" t="inlineStr">
        <is>
          <t>IRM/EFX</t>
        </is>
      </c>
      <c r="C10" s="17" t="inlineStr">
        <is>
          <t>IRM</t>
        </is>
      </c>
      <c r="D10" s="17" t="inlineStr">
        <is>
          <t>long</t>
        </is>
      </c>
      <c r="E10" s="24" t="n">
        <v>874</v>
      </c>
      <c r="F10" s="13" t="n">
        <v>132.44</v>
      </c>
      <c r="G10" s="13" t="n">
        <v>115752.56</v>
      </c>
      <c r="H10" s="17" t="inlineStr">
        <is>
          <t>realestate</t>
        </is>
      </c>
      <c r="I10" s="17" t="n">
        <v>0</v>
      </c>
      <c r="J10" s="17" t="inlineStr">
        <is>
          <t>raw_momentum_kalman</t>
        </is>
      </c>
    </row>
    <row r="11">
      <c r="A11" s="10" t="inlineStr">
        <is>
          <t>MTFS</t>
        </is>
      </c>
      <c r="B11" s="7" t="inlineStr">
        <is>
          <t>IRM/EFX</t>
        </is>
      </c>
      <c r="C11" s="7" t="inlineStr">
        <is>
          <t>EFX</t>
        </is>
      </c>
      <c r="D11" s="7" t="inlineStr">
        <is>
          <t>short</t>
        </is>
      </c>
      <c r="E11" s="22" t="n">
        <v>-362</v>
      </c>
      <c r="F11" s="4" t="n">
        <v>158.48</v>
      </c>
      <c r="G11" s="26" t="n">
        <v>-57369.76</v>
      </c>
      <c r="H11" s="7" t="inlineStr">
        <is>
          <t>industrial</t>
        </is>
      </c>
      <c r="I11" s="7" t="n">
        <v>0</v>
      </c>
      <c r="J11" s="7" t="inlineStr">
        <is>
          <t>raw_momentum_kalman</t>
        </is>
      </c>
    </row>
    <row r="12">
      <c r="A12" s="12" t="inlineStr">
        <is>
          <t>MTFS</t>
        </is>
      </c>
      <c r="B12" s="17" t="inlineStr">
        <is>
          <t>AMAT/LULU</t>
        </is>
      </c>
      <c r="C12" s="17" t="inlineStr">
        <is>
          <t>AMAT</t>
        </is>
      </c>
      <c r="D12" s="17" t="inlineStr">
        <is>
          <t>long</t>
        </is>
      </c>
      <c r="E12" s="24" t="n">
        <v>222</v>
      </c>
      <c r="F12" s="13" t="n">
        <v>626.84</v>
      </c>
      <c r="G12" s="13" t="n">
        <v>139158.48</v>
      </c>
      <c r="H12" s="17" t="inlineStr">
        <is>
          <t>tech</t>
        </is>
      </c>
      <c r="I12" s="17" t="n">
        <v>0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AMAT/LULU</t>
        </is>
      </c>
      <c r="C13" s="7" t="inlineStr">
        <is>
          <t>LULU</t>
        </is>
      </c>
      <c r="D13" s="7" t="inlineStr">
        <is>
          <t>short</t>
        </is>
      </c>
      <c r="E13" s="22" t="n">
        <v>-579</v>
      </c>
      <c r="F13" s="4" t="n">
        <v>117.57</v>
      </c>
      <c r="G13" s="26" t="n">
        <v>-68073.03</v>
      </c>
      <c r="H13" s="7" t="inlineStr">
        <is>
          <t>food</t>
        </is>
      </c>
      <c r="I13" s="7" t="n">
        <v>0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TER/ISRG</t>
        </is>
      </c>
      <c r="C14" s="17" t="inlineStr">
        <is>
          <t>TER</t>
        </is>
      </c>
      <c r="D14" s="17" t="inlineStr">
        <is>
          <t>long</t>
        </is>
      </c>
      <c r="E14" s="24" t="n">
        <v>187</v>
      </c>
      <c r="F14" s="13" t="n">
        <v>436.86</v>
      </c>
      <c r="G14" s="13" t="n">
        <v>81692.82000000001</v>
      </c>
      <c r="H14" s="17" t="inlineStr">
        <is>
          <t>tech</t>
        </is>
      </c>
      <c r="I14" s="17" t="n">
        <v>1</v>
      </c>
      <c r="J14" s="17" t="inlineStr">
        <is>
          <t>long_term_kalman</t>
        </is>
      </c>
    </row>
    <row r="15">
      <c r="A15" s="10" t="inlineStr">
        <is>
          <t>MTFS</t>
        </is>
      </c>
      <c r="B15" s="7" t="inlineStr">
        <is>
          <t>TER/ISRG</t>
        </is>
      </c>
      <c r="C15" s="7" t="inlineStr">
        <is>
          <t>ISRG</t>
        </is>
      </c>
      <c r="D15" s="7" t="inlineStr">
        <is>
          <t>short</t>
        </is>
      </c>
      <c r="E15" s="22" t="n">
        <v>-140</v>
      </c>
      <c r="F15" s="4" t="n">
        <v>404.7</v>
      </c>
      <c r="G15" s="26" t="n">
        <v>-56658</v>
      </c>
      <c r="H15" s="7" t="inlineStr">
        <is>
          <t>health</t>
        </is>
      </c>
      <c r="I15" s="7" t="n">
        <v>1</v>
      </c>
      <c r="J15" s="7" t="inlineStr">
        <is>
          <t>long_term_kalman</t>
        </is>
      </c>
    </row>
    <row r="16">
      <c r="A16" s="12" t="inlineStr">
        <is>
          <t>MTFS</t>
        </is>
      </c>
      <c r="B16" s="17" t="inlineStr">
        <is>
          <t>PWR/NKE</t>
        </is>
      </c>
      <c r="C16" s="17" t="inlineStr">
        <is>
          <t>PWR</t>
        </is>
      </c>
      <c r="D16" s="17" t="inlineStr">
        <is>
          <t>long</t>
        </is>
      </c>
      <c r="E16" s="24" t="n">
        <v>115</v>
      </c>
      <c r="F16" s="13" t="n">
        <v>687.87</v>
      </c>
      <c r="G16" s="13" t="n">
        <v>79105.05</v>
      </c>
      <c r="H16" s="17" t="inlineStr">
        <is>
          <t>industrial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PWR/NKE</t>
        </is>
      </c>
      <c r="C17" s="7" t="inlineStr">
        <is>
          <t>NKE</t>
        </is>
      </c>
      <c r="D17" s="7" t="inlineStr">
        <is>
          <t>short</t>
        </is>
      </c>
      <c r="E17" s="22" t="n">
        <v>-1980</v>
      </c>
      <c r="F17" s="11" t="n">
        <v>40.75</v>
      </c>
      <c r="G17" s="26" t="n">
        <v>-80685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IRM/MSFT</t>
        </is>
      </c>
      <c r="C18" s="17" t="inlineStr">
        <is>
          <t>IRM</t>
        </is>
      </c>
      <c r="D18" s="17" t="inlineStr">
        <is>
          <t>long</t>
        </is>
      </c>
      <c r="E18" s="24" t="n">
        <v>874</v>
      </c>
      <c r="F18" s="13" t="n">
        <v>132.44</v>
      </c>
      <c r="G18" s="13" t="n">
        <v>115752.56</v>
      </c>
      <c r="H18" s="17" t="inlineStr">
        <is>
          <t>realestate</t>
        </is>
      </c>
      <c r="I18" s="17" t="n">
        <v>1</v>
      </c>
      <c r="J18" s="17" t="inlineStr">
        <is>
          <t>fast_rebalance</t>
        </is>
      </c>
    </row>
    <row r="19">
      <c r="A19" s="10" t="inlineStr">
        <is>
          <t>MTFS</t>
        </is>
      </c>
      <c r="B19" s="7" t="inlineStr">
        <is>
          <t>IRM/MSFT</t>
        </is>
      </c>
      <c r="C19" s="7" t="inlineStr">
        <is>
          <t>MSFT</t>
        </is>
      </c>
      <c r="D19" s="7" t="inlineStr">
        <is>
          <t>short</t>
        </is>
      </c>
      <c r="E19" s="22" t="n">
        <v>-155</v>
      </c>
      <c r="F19" s="4" t="n">
        <v>372.97</v>
      </c>
      <c r="G19" s="26" t="n">
        <v>-57810.35</v>
      </c>
      <c r="H19" s="7" t="inlineStr">
        <is>
          <t>tech</t>
        </is>
      </c>
      <c r="I19" s="7" t="n">
        <v>1</v>
      </c>
      <c r="J19" s="7" t="inlineStr">
        <is>
          <t>fast_rebalance</t>
        </is>
      </c>
    </row>
    <row r="20">
      <c r="A20" s="12" t="inlineStr">
        <is>
          <t>MTFS</t>
        </is>
      </c>
      <c r="B20" s="17" t="inlineStr">
        <is>
          <t>GLW/FOXA</t>
        </is>
      </c>
      <c r="C20" s="17" t="inlineStr">
        <is>
          <t>GLW</t>
        </is>
      </c>
      <c r="D20" s="17" t="inlineStr">
        <is>
          <t>long</t>
        </is>
      </c>
      <c r="E20" s="24" t="n">
        <v>636</v>
      </c>
      <c r="F20" s="13" t="n">
        <v>221.05</v>
      </c>
      <c r="G20" s="13" t="n">
        <v>140587.8</v>
      </c>
      <c r="H20" s="17" t="inlineStr">
        <is>
          <t>tech</t>
        </is>
      </c>
      <c r="I20" s="17" t="n">
        <v>0</v>
      </c>
      <c r="J20" s="17" t="inlineStr">
        <is>
          <t>monthly_aligned_windows</t>
        </is>
      </c>
    </row>
    <row r="21">
      <c r="A21" s="10" t="inlineStr">
        <is>
          <t>MTFS</t>
        </is>
      </c>
      <c r="B21" s="7" t="inlineStr">
        <is>
          <t>GLW/FOXA</t>
        </is>
      </c>
      <c r="C21" s="7" t="inlineStr">
        <is>
          <t>FOXA</t>
        </is>
      </c>
      <c r="D21" s="7" t="inlineStr">
        <is>
          <t>short</t>
        </is>
      </c>
      <c r="E21" s="22" t="n">
        <v>-1317</v>
      </c>
      <c r="F21" s="11" t="n">
        <v>50.1</v>
      </c>
      <c r="G21" s="26" t="n">
        <v>-65981.7</v>
      </c>
      <c r="H21" s="7" t="inlineStr">
        <is>
          <t>telecom</t>
        </is>
      </c>
      <c r="I21" s="7" t="n">
        <v>0</v>
      </c>
      <c r="J21" s="7" t="inlineStr">
        <is>
          <t>monthly_aligned_windows</t>
        </is>
      </c>
    </row>
    <row r="22">
      <c r="A22" s="12" t="inlineStr">
        <is>
          <t>MTFS</t>
        </is>
      </c>
      <c r="B22" s="17" t="inlineStr">
        <is>
          <t>KMX/TYL</t>
        </is>
      </c>
      <c r="C22" s="17" t="inlineStr">
        <is>
          <t>KMX</t>
        </is>
      </c>
      <c r="D22" s="17" t="inlineStr">
        <is>
          <t>long</t>
        </is>
      </c>
      <c r="E22" s="24" t="n">
        <v>1291</v>
      </c>
      <c r="F22" s="15" t="n">
        <v>52.76</v>
      </c>
      <c r="G22" s="13" t="n">
        <v>68113.16</v>
      </c>
      <c r="H22" s="17" t="inlineStr">
        <is>
          <t>other</t>
        </is>
      </c>
      <c r="I22" s="17" t="n">
        <v>1</v>
      </c>
      <c r="J22" s="17" t="inlineStr">
        <is>
          <t>sensitive_reversal</t>
        </is>
      </c>
    </row>
    <row r="23">
      <c r="A23" s="10" t="inlineStr">
        <is>
          <t>MTFS</t>
        </is>
      </c>
      <c r="B23" s="7" t="inlineStr">
        <is>
          <t>KMX/TYL</t>
        </is>
      </c>
      <c r="C23" s="7" t="inlineStr">
        <is>
          <t>TYL</t>
        </is>
      </c>
      <c r="D23" s="7" t="inlineStr">
        <is>
          <t>short</t>
        </is>
      </c>
      <c r="E23" s="22" t="n">
        <v>-229</v>
      </c>
      <c r="F23" s="4" t="n">
        <v>294.4</v>
      </c>
      <c r="G23" s="26" t="n">
        <v>-67417.60000000001</v>
      </c>
      <c r="H23" s="7" t="inlineStr">
        <is>
          <t>tech</t>
        </is>
      </c>
      <c r="I23" s="7" t="n">
        <v>1</v>
      </c>
      <c r="J23" s="7" t="inlineStr">
        <is>
          <t>sensitive_reversal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HAS/YUM</t>
        </is>
      </c>
      <c r="C4" s="13" t="n">
        <v>3773.71</v>
      </c>
      <c r="D4" s="13" t="n">
        <v>264470.53</v>
      </c>
      <c r="E4" s="17" t="n">
        <v>0</v>
      </c>
      <c r="F4" s="17" t="inlineStr">
        <is>
          <t>aggressive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CL/PM</t>
        </is>
      </c>
      <c r="C5" s="11" t="n">
        <v>35.3</v>
      </c>
      <c r="D5" s="4" t="n">
        <v>87206.75</v>
      </c>
      <c r="E5" s="7" t="n">
        <v>0</v>
      </c>
      <c r="F5" s="7" t="inlineStr">
        <is>
          <t>flash_hold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GLW/FOX</t>
        </is>
      </c>
      <c r="C6" s="13" t="n">
        <v>8899.620000000001</v>
      </c>
      <c r="D6" s="13" t="n">
        <v>206927.75</v>
      </c>
      <c r="E6" s="17" t="n">
        <v>1</v>
      </c>
      <c r="F6" s="17" t="inlineStr">
        <is>
          <t>monthly_aligned_windows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IRM/EFX</t>
        </is>
      </c>
      <c r="C7" s="26" t="n">
        <v>-1299.46</v>
      </c>
      <c r="D7" s="4" t="n">
        <v>173122.32</v>
      </c>
      <c r="E7" s="7" t="n">
        <v>0</v>
      </c>
      <c r="F7" s="7" t="inlineStr">
        <is>
          <t>raw_momentum_kalman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AMAT/LULU</t>
        </is>
      </c>
      <c r="C8" s="13" t="n">
        <v>5813.22</v>
      </c>
      <c r="D8" s="13" t="n">
        <v>207231.51</v>
      </c>
      <c r="E8" s="17" t="n">
        <v>0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TER/ISRG</t>
        </is>
      </c>
      <c r="C9" s="26" t="n">
        <v>-4011.18</v>
      </c>
      <c r="D9" s="4" t="n">
        <v>138350.82</v>
      </c>
      <c r="E9" s="7" t="n">
        <v>1</v>
      </c>
      <c r="F9" s="7" t="inlineStr">
        <is>
          <t>long_term_kalman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PWR/NKE</t>
        </is>
      </c>
      <c r="C10" s="18" t="n">
        <v>-1179.85</v>
      </c>
      <c r="D10" s="13" t="n">
        <v>159790.05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IRM/MSFT</t>
        </is>
      </c>
      <c r="C11" s="26" t="n">
        <v>-365.73</v>
      </c>
      <c r="D11" s="4" t="n">
        <v>173562.91</v>
      </c>
      <c r="E11" s="7" t="n">
        <v>1</v>
      </c>
      <c r="F11" s="7" t="inlineStr">
        <is>
          <t>fast_rebalance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GLW/FOXA</t>
        </is>
      </c>
      <c r="C12" s="13" t="n">
        <v>9284.82</v>
      </c>
      <c r="D12" s="13" t="n">
        <v>206569.5</v>
      </c>
      <c r="E12" s="17" t="n">
        <v>0</v>
      </c>
      <c r="F12" s="17" t="inlineStr">
        <is>
          <t>monthly_aligned_windows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KMX/TYL</t>
        </is>
      </c>
      <c r="C13" s="4" t="n">
        <v>626.54</v>
      </c>
      <c r="D13" s="4" t="n">
        <v>135530.76</v>
      </c>
      <c r="E13" s="7" t="n">
        <v>1</v>
      </c>
      <c r="F13" s="7" t="inlineStr">
        <is>
          <t>sensitive_reversal</t>
        </is>
      </c>
      <c r="G13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2026-06-26</t>
        </is>
      </c>
      <c r="C4" s="7" t="inlineStr">
        <is>
          <t>2026-06-26</t>
        </is>
      </c>
    </row>
    <row r="5">
      <c r="A5" s="12" t="inlineStr">
        <is>
          <t>T_1D</t>
        </is>
      </c>
      <c r="B5" s="17" t="inlineStr">
        <is>
          <t>2026-06-25</t>
        </is>
      </c>
      <c r="C5" s="17" t="inlineStr">
        <is>
          <t>2026-06-25</t>
        </is>
      </c>
    </row>
    <row r="6">
      <c r="A6" s="10" t="inlineStr">
        <is>
          <t>T_1W</t>
        </is>
      </c>
      <c r="B6" s="7" t="inlineStr">
        <is>
          <t>2026-06-18</t>
        </is>
      </c>
      <c r="C6" s="7" t="inlineStr">
        <is>
          <t>2026-06-18</t>
        </is>
      </c>
    </row>
    <row r="7">
      <c r="A7" s="12" t="inlineStr">
        <is>
          <t>T_1M</t>
        </is>
      </c>
      <c r="B7" s="17" t="inlineStr">
        <is>
          <t>2026-05-28</t>
        </is>
      </c>
      <c r="C7" s="17" t="inlineStr">
        <is>
          <t>2026-05-28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7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13.61</v>
      </c>
      <c r="C6" s="7" t="n">
        <v>0.29</v>
      </c>
      <c r="D6" s="7" t="n">
        <v>25</v>
      </c>
      <c r="E6" s="21" t="n">
        <v>-13.32</v>
      </c>
    </row>
    <row r="7">
      <c r="A7" s="12" t="inlineStr">
        <is>
          <t>MTFS</t>
        </is>
      </c>
      <c r="B7" s="17" t="n">
        <v>13.16</v>
      </c>
      <c r="C7" s="17" t="n">
        <v>22.41</v>
      </c>
      <c r="D7" s="17" t="n">
        <v>25</v>
      </c>
      <c r="E7" s="19" t="n">
        <v>9.24</v>
      </c>
    </row>
    <row r="8">
      <c r="A8" s="10" t="inlineStr">
        <is>
          <t>SSRS</t>
        </is>
      </c>
      <c r="B8" s="7" t="n">
        <v>22.8</v>
      </c>
      <c r="C8" s="7" t="n">
        <v>2.27</v>
      </c>
      <c r="D8" s="7" t="n">
        <v>25</v>
      </c>
      <c r="E8" s="21" t="n">
        <v>-20.53</v>
      </c>
    </row>
    <row r="9">
      <c r="A9" s="12" t="inlineStr">
        <is>
          <t>AISS</t>
        </is>
      </c>
      <c r="B9" s="17" t="n">
        <v>50.43</v>
      </c>
      <c r="C9" s="17" t="n">
        <v>75.04000000000001</v>
      </c>
      <c r="D9" s="17" t="n">
        <v>25</v>
      </c>
      <c r="E9" s="19" t="n">
        <v>24.6</v>
      </c>
    </row>
    <row r="11">
      <c r="A11" s="27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GLW/FOXA</t>
        </is>
      </c>
      <c r="B13" s="7" t="n">
        <v>23.76</v>
      </c>
    </row>
    <row r="14">
      <c r="A14" s="12" t="inlineStr">
        <is>
          <t>GLW/FOX</t>
        </is>
      </c>
      <c r="B14" s="17" t="n">
        <v>23.62</v>
      </c>
    </row>
    <row r="15">
      <c r="A15" s="10" t="inlineStr">
        <is>
          <t>AMAT/LULU</t>
        </is>
      </c>
      <c r="B15" s="7" t="n">
        <v>15.9</v>
      </c>
    </row>
    <row r="16">
      <c r="A16" s="12" t="inlineStr">
        <is>
          <t>TER/ISRG</t>
        </is>
      </c>
      <c r="B16" s="17" t="n">
        <v>11.89</v>
      </c>
    </row>
    <row r="17">
      <c r="A17" s="10" t="inlineStr">
        <is>
          <t>PWR/NKE</t>
        </is>
      </c>
      <c r="B17" s="7" t="n">
        <v>8.76</v>
      </c>
    </row>
    <row r="18">
      <c r="A18" s="12" t="inlineStr">
        <is>
          <t>KMX/TYL</t>
        </is>
      </c>
      <c r="B18" s="17" t="n">
        <v>6.48</v>
      </c>
    </row>
    <row r="19">
      <c r="A19" s="10" t="inlineStr">
        <is>
          <t>IRM/MSFT</t>
        </is>
      </c>
      <c r="B19" s="7" t="n">
        <v>6.15</v>
      </c>
    </row>
    <row r="20">
      <c r="A20" s="12" t="inlineStr">
        <is>
          <t>IRM/EFX</t>
        </is>
      </c>
      <c r="B20" s="17" t="n">
        <v>5.34</v>
      </c>
    </row>
    <row r="21">
      <c r="A21" s="10" t="inlineStr">
        <is>
          <t>CL/PM</t>
        </is>
      </c>
      <c r="B21" s="7" t="n">
        <v>-0.37</v>
      </c>
    </row>
    <row r="22">
      <c r="A22" s="12" t="inlineStr">
        <is>
          <t>HAS/YUM</t>
        </is>
      </c>
      <c r="B22" s="17" t="n">
        <v>-1.52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39.03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0.072 (t=0.59)</t>
        </is>
      </c>
      <c r="I5" s="7" t="inlineStr">
        <is>
          <t>0.094 (t=0.83)</t>
        </is>
      </c>
      <c r="J5" s="7" t="inlineStr">
        <is>
          <t>-0.112 (t=-0.63)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19" t="n">
        <v>49.05</v>
      </c>
      <c r="C6" s="17" t="n">
        <v>2.05</v>
      </c>
      <c r="D6" s="17" t="n">
        <v>0.058</v>
      </c>
      <c r="E6" s="17" t="n">
        <v>116</v>
      </c>
      <c r="F6" s="17" t="inlineStr">
        <is>
          <t>0.048 (t=0.34)</t>
        </is>
      </c>
      <c r="G6" s="17" t="inlineStr">
        <is>
          <t>-0.105 (t=-0.48)</t>
        </is>
      </c>
      <c r="H6" s="17" t="inlineStr">
        <is>
          <t>-0.063 (t=-0.33)</t>
        </is>
      </c>
      <c r="I6" s="17" t="inlineStr">
        <is>
          <t>0.234 (t=1.29)</t>
        </is>
      </c>
      <c r="J6" s="17" t="inlineStr">
        <is>
          <t>-0.203 (t=-0.71)</t>
        </is>
      </c>
      <c r="K6" s="17" t="inlineStr">
        <is>
          <t>-0.139 (t=-1.36)</t>
        </is>
      </c>
    </row>
    <row r="7">
      <c r="A7" s="10" t="inlineStr">
        <is>
          <t>MTFS</t>
        </is>
      </c>
      <c r="B7" s="20" t="n">
        <v>27.25</v>
      </c>
      <c r="C7" s="7" t="n">
        <v>1.02</v>
      </c>
      <c r="D7" s="7" t="n">
        <v>0.038</v>
      </c>
      <c r="E7" s="7" t="n">
        <v>116</v>
      </c>
      <c r="F7" s="7" t="inlineStr">
        <is>
          <t>-0.057 (t=-0.37)</t>
        </is>
      </c>
      <c r="G7" s="7" t="inlineStr">
        <is>
          <t>-0.018 (t=-0.07)</t>
        </is>
      </c>
      <c r="H7" s="7" t="inlineStr">
        <is>
          <t>0.239 (t=1.1)</t>
        </is>
      </c>
      <c r="I7" s="7" t="inlineStr">
        <is>
          <t>-0.092 (t=-0.45)</t>
        </is>
      </c>
      <c r="J7" s="7" t="inlineStr">
        <is>
          <t>0.017 (t=0.05)</t>
        </is>
      </c>
      <c r="K7" s="7" t="inlineStr">
        <is>
          <t>-0.068 (t=-0.59)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0.712</v>
      </c>
      <c r="C4" s="7" t="n">
        <v>15.848</v>
      </c>
      <c r="D4" s="7" t="n">
        <v>0</v>
      </c>
      <c r="E4" s="7" t="b">
        <v>1</v>
      </c>
      <c r="F4" s="7" t="n">
        <v>2.524</v>
      </c>
      <c r="G4" s="7" t="n">
        <v>2.524</v>
      </c>
      <c r="H4" s="7" t="n">
        <v>0</v>
      </c>
    </row>
    <row r="5">
      <c r="A5" s="12" t="inlineStr">
        <is>
          <t>MRPT</t>
        </is>
      </c>
      <c r="B5" s="17" t="n">
        <v>-0.294</v>
      </c>
      <c r="C5" s="17" t="n">
        <v>2.428</v>
      </c>
      <c r="D5" s="17" t="n">
        <v>0</v>
      </c>
      <c r="E5" s="17" t="b">
        <v>1</v>
      </c>
      <c r="F5" s="17" t="n">
        <v>1.509</v>
      </c>
      <c r="G5" s="17" t="n">
        <v>1.541</v>
      </c>
      <c r="H5" s="17" t="n">
        <v>0.032</v>
      </c>
    </row>
    <row r="6">
      <c r="A6" s="10" t="inlineStr">
        <is>
          <t>MTFS</t>
        </is>
      </c>
      <c r="B6" s="7" t="n">
        <v>1.649</v>
      </c>
      <c r="C6" s="7" t="n">
        <v>18.818</v>
      </c>
      <c r="D6" s="7" t="n">
        <v>0</v>
      </c>
      <c r="E6" s="7" t="b">
        <v>1</v>
      </c>
      <c r="F6" s="7" t="n">
        <v>5.416</v>
      </c>
      <c r="G6" s="7" t="n">
        <v>5.416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1.389</v>
      </c>
      <c r="C9" s="7" t="n">
        <v>0.8706</v>
      </c>
      <c r="D9" s="7" t="n">
        <v>345</v>
      </c>
      <c r="E9" s="7" t="n">
        <v>8.69</v>
      </c>
      <c r="F9" s="7" t="n">
        <v>9.460000000000001</v>
      </c>
      <c r="G9" s="7" t="n">
        <v>75.59999999999999</v>
      </c>
      <c r="H9" s="7" t="n">
        <v>4.64</v>
      </c>
      <c r="I9" s="7" t="n">
        <v>2.32</v>
      </c>
      <c r="J9" s="7" t="n">
        <v>1.542</v>
      </c>
    </row>
    <row r="10">
      <c r="A10" s="12" t="inlineStr">
        <is>
          <t>MRPT</t>
        </is>
      </c>
      <c r="B10" s="17" t="n">
        <v>1.346</v>
      </c>
      <c r="C10" s="17" t="n">
        <v>0.8558</v>
      </c>
      <c r="D10" s="17" t="n">
        <v>390</v>
      </c>
      <c r="E10" s="17" t="n">
        <v>9.42</v>
      </c>
      <c r="F10" s="17" t="n">
        <v>9.57</v>
      </c>
      <c r="G10" s="17" t="n">
        <v>78.7</v>
      </c>
      <c r="H10" s="17" t="n">
        <v>6.64</v>
      </c>
      <c r="I10" s="17" t="n">
        <v>3.32</v>
      </c>
      <c r="J10" s="17" t="n">
        <v>0.609</v>
      </c>
    </row>
    <row r="11">
      <c r="A11" s="10" t="inlineStr">
        <is>
          <t>MTFS</t>
        </is>
      </c>
      <c r="B11" s="7" t="n">
        <v>1.126</v>
      </c>
      <c r="C11" s="7" t="n">
        <v>0.8282</v>
      </c>
      <c r="D11" s="7" t="n">
        <v>490</v>
      </c>
      <c r="E11" s="7" t="n">
        <v>15.42</v>
      </c>
      <c r="F11" s="7" t="n">
        <v>18.48</v>
      </c>
      <c r="G11" s="7" t="n">
        <v>79.3</v>
      </c>
      <c r="H11" s="7" t="n">
        <v>1.89</v>
      </c>
      <c r="I11" s="7" t="n">
        <v>0.95</v>
      </c>
      <c r="J11" s="7" t="n">
        <v>2.507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2026-06-27T08:42:54Z</dcterms:created>
  <dcterms:modified xmlns:dcterms="http://purl.org/dc/terms/" xmlns:xsi="http://www.w3.org/2001/XMLSchema-instance" xsi:type="dcterms:W3CDTF">2026-06-27T08:42:54Z</dcterms:modified>
</cp:coreProperties>
</file>