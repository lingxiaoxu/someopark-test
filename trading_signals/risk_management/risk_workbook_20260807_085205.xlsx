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Trend'!$A$4:$A$196</f>
            </numRef>
          </cat>
          <val>
            <numRef>
              <f>'NAV Trend'!$B$4:$B$196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2026-08-06  ·  Generated 2026-08-07T08:54:11  ·  Scope: MRPT+MTFS pairs book (model-based, broker-reconciled)</t>
        </is>
      </c>
    </row>
    <row r="4">
      <c r="A4" s="3" t="inlineStr">
        <is>
          <t>NAV (equity)</t>
        </is>
      </c>
      <c r="B4" s="4" t="n">
        <v>886002.91</v>
      </c>
    </row>
    <row r="5">
      <c r="A5" s="3" t="inlineStr">
        <is>
          <t>Gross leverage (x)</t>
        </is>
      </c>
      <c r="B5" s="5" t="n">
        <v>1.927</v>
      </c>
    </row>
    <row r="6">
      <c r="A6" s="3" t="inlineStr">
        <is>
          <t>Net leverage (x)</t>
        </is>
      </c>
      <c r="B6" s="6" t="n">
        <v>0.461</v>
      </c>
    </row>
    <row r="7">
      <c r="A7" s="3" t="inlineStr">
        <is>
          <t>Net market beta (target≈0)</t>
        </is>
      </c>
      <c r="B7" s="6" t="n">
        <v>0.918</v>
      </c>
    </row>
    <row r="8">
      <c r="A8" s="3" t="inlineStr">
        <is>
          <t>VaR 95% 1-day ($)</t>
        </is>
      </c>
      <c r="B8" s="4" t="n">
        <v>26889.56</v>
      </c>
    </row>
    <row r="9">
      <c r="A9" s="3" t="inlineStr">
        <is>
          <t>VaR 95% 1-day (% NAV)</t>
        </is>
      </c>
      <c r="B9" s="5" t="n">
        <v>3.03</v>
      </c>
    </row>
    <row r="10">
      <c r="A10" s="3" t="inlineStr">
        <is>
          <t>Annual vol (% NAV)</t>
        </is>
      </c>
      <c r="B10" s="5" t="n">
        <v>29.29</v>
      </c>
    </row>
    <row r="11">
      <c r="A11" s="3" t="inlineStr">
        <is>
          <t>Sharpe (annual)</t>
        </is>
      </c>
      <c r="B11" s="6" t="n">
        <v>-0.079</v>
      </c>
    </row>
    <row r="12">
      <c r="A12" s="3" t="inlineStr">
        <is>
          <t>PSR( SR&gt;0 )</t>
        </is>
      </c>
      <c r="B12" s="6" t="n">
        <v>0.4725</v>
      </c>
    </row>
    <row r="13">
      <c r="A13" s="3" t="inlineStr">
        <is>
          <t>CDaR 95% (%)</t>
        </is>
      </c>
      <c r="B13" s="5" t="n">
        <v>21.43</v>
      </c>
    </row>
    <row r="14">
      <c r="A14" s="3" t="inlineStr">
        <is>
          <t>Kelly full / half (x)</t>
        </is>
      </c>
      <c r="B14" s="7" t="inlineStr">
        <is>
          <t>-1.11 / -0.55</t>
        </is>
      </c>
    </row>
    <row r="15">
      <c r="A15" s="3" t="inlineStr">
        <is>
          <t>Actual gross leverage (x)</t>
        </is>
      </c>
      <c r="B15" s="5" t="n">
        <v>1.927</v>
      </c>
    </row>
    <row r="16">
      <c r="A16" s="3" t="inlineStr">
        <is>
          <t>Max single-name</t>
        </is>
      </c>
      <c r="B16" s="7" t="inlineStr">
        <is>
          <t>PANW (32.62% NAV)</t>
        </is>
      </c>
    </row>
    <row r="17">
      <c r="A17" s="3" t="inlineStr">
        <is>
          <t>Max sector net (% gross)</t>
        </is>
      </c>
      <c r="B17" s="5" t="n">
        <v>30.66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3</v>
      </c>
    </row>
    <row r="20">
      <c r="A20" s="3" t="inlineStr">
        <is>
          <t>Worst breach</t>
        </is>
      </c>
      <c r="B20" s="7" t="inlineStr">
        <is>
          <t>single_name_gross:PANW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379197.53</v>
      </c>
      <c r="E5" s="11" t="n">
        <v>0</v>
      </c>
    </row>
    <row r="6">
      <c r="A6" s="12" t="inlineStr">
        <is>
          <t>Restricted Cash 受限现金 (PB 102%)</t>
        </is>
      </c>
      <c r="B6" s="13" t="n">
        <v>662377.39</v>
      </c>
      <c r="C6" s="13" t="n">
        <v>798967.4300000001</v>
      </c>
      <c r="D6" s="13" t="n">
        <v>366207.65</v>
      </c>
      <c r="E6" s="13" t="n">
        <v>330461.77</v>
      </c>
    </row>
    <row r="7">
      <c r="A7" s="10" t="inlineStr">
        <is>
          <t>Long Securities 多头证券</t>
        </is>
      </c>
      <c r="B7" s="4" t="n">
        <v>1057676.35</v>
      </c>
      <c r="C7" s="4" t="n">
        <v>1600833.59</v>
      </c>
      <c r="D7" s="4" t="n">
        <v>559575.99</v>
      </c>
      <c r="E7" s="4" t="n">
        <v>1147085.98</v>
      </c>
    </row>
    <row r="8">
      <c r="A8" s="14" t="inlineStr">
        <is>
          <t>Total Assets 总资产</t>
        </is>
      </c>
      <c r="B8" s="13" t="n">
        <v>1720053.74</v>
      </c>
      <c r="C8" s="13" t="n">
        <v>2399801.02</v>
      </c>
      <c r="D8" s="13" t="n">
        <v>1304981.17</v>
      </c>
      <c r="E8" s="13" t="n">
        <v>1477547.75</v>
      </c>
    </row>
    <row r="9">
      <c r="A9" s="10" t="inlineStr">
        <is>
          <t>Short Securities 空头证券 (义务)</t>
        </is>
      </c>
      <c r="B9" s="4" t="n">
        <v>649389.6</v>
      </c>
      <c r="C9" s="4" t="n">
        <v>783301.4</v>
      </c>
      <c r="D9" s="4" t="n">
        <v>359027.11</v>
      </c>
      <c r="E9" s="4" t="n">
        <v>323982.13</v>
      </c>
    </row>
    <row r="10">
      <c r="A10" s="12" t="inlineStr">
        <is>
          <t>Margin Loan 保证金借款</t>
        </is>
      </c>
      <c r="B10" s="13" t="n">
        <v>184661.23</v>
      </c>
      <c r="C10" s="13" t="n">
        <v>720206.74</v>
      </c>
      <c r="D10" s="15" t="n">
        <v>0</v>
      </c>
      <c r="E10" s="13" t="n">
        <v>86558.98</v>
      </c>
    </row>
    <row r="11">
      <c r="A11" s="16" t="inlineStr">
        <is>
          <t>Total Liabilities 总负债</t>
        </is>
      </c>
      <c r="B11" s="4" t="n">
        <v>834050.83</v>
      </c>
      <c r="C11" s="4" t="n">
        <v>1503508.14</v>
      </c>
      <c r="D11" s="4" t="n">
        <v>359027.11</v>
      </c>
      <c r="E11" s="4" t="n">
        <v>410541.11</v>
      </c>
    </row>
    <row r="12">
      <c r="A12" s="14" t="inlineStr">
        <is>
          <t>NAV (Equity) 净值 = TA - TL</t>
        </is>
      </c>
      <c r="B12" s="13" t="n">
        <v>886002.91</v>
      </c>
      <c r="C12" s="13" t="n">
        <v>896292.88</v>
      </c>
      <c r="D12" s="13" t="n">
        <v>945954.0600000001</v>
      </c>
      <c r="E12" s="13" t="n">
        <v>1067006.64</v>
      </c>
    </row>
    <row r="13">
      <c r="A13" s="10" t="inlineStr">
        <is>
          <t>Gross Leverage 总杠杆 (x)</t>
        </is>
      </c>
      <c r="B13" s="7" t="n">
        <v>1.927</v>
      </c>
      <c r="C13" s="7" t="n">
        <v>2.66</v>
      </c>
      <c r="D13" s="7" t="n">
        <v>0.971</v>
      </c>
      <c r="E13" s="7" t="n">
        <v>1.379</v>
      </c>
    </row>
    <row r="14">
      <c r="A14" s="12" t="inlineStr">
        <is>
          <t>Net Leverage 净杠杆 (x)</t>
        </is>
      </c>
      <c r="B14" s="17" t="n">
        <v>0.461</v>
      </c>
      <c r="C14" s="17" t="n">
        <v>0.912</v>
      </c>
      <c r="D14" s="17" t="n">
        <v>0.212</v>
      </c>
      <c r="E14" s="17" t="n">
        <v>0.771</v>
      </c>
    </row>
    <row r="15">
      <c r="A15" s="10" t="inlineStr">
        <is>
          <t>PM Requirement (20%)</t>
        </is>
      </c>
      <c r="B15" s="4" t="n">
        <v>341413.19</v>
      </c>
      <c r="C15" s="4" t="n">
        <v>476827</v>
      </c>
      <c r="D15" s="4" t="n">
        <v>183720.62</v>
      </c>
      <c r="E15" s="4" t="n">
        <v>294213.62</v>
      </c>
    </row>
    <row r="16">
      <c r="A16" s="12" t="inlineStr">
        <is>
          <t>Excess Liquidity 超额流动性</t>
        </is>
      </c>
      <c r="B16" s="13" t="n">
        <v>544589.72</v>
      </c>
      <c r="C16" s="13" t="n">
        <v>419465.88</v>
      </c>
      <c r="D16" s="13" t="n">
        <v>762233.4399999999</v>
      </c>
      <c r="E16" s="13" t="n">
        <v>772793.02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886002.91</v>
      </c>
      <c r="C21" s="4" t="n">
        <v>896292.88</v>
      </c>
      <c r="D21" s="4" t="n">
        <v>559575.99</v>
      </c>
      <c r="E21" s="4" t="n">
        <v>1067006.64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1057676.35</v>
      </c>
      <c r="C23" s="4" t="n">
        <v>1600833.59</v>
      </c>
      <c r="D23" s="4" t="n">
        <v>559575.99</v>
      </c>
      <c r="E23" s="4" t="n">
        <v>1147085.98</v>
      </c>
    </row>
    <row r="24">
      <c r="A24" s="12" t="inlineStr">
        <is>
          <t>Long Book — Margin Loan 融资</t>
        </is>
      </c>
      <c r="B24" s="13" t="n">
        <v>171673.44</v>
      </c>
      <c r="C24" s="13" t="n">
        <v>704540.71</v>
      </c>
      <c r="D24" s="15" t="n">
        <v>0</v>
      </c>
      <c r="E24" s="13" t="n">
        <v>80079.34</v>
      </c>
    </row>
    <row r="25">
      <c r="A25" s="16" t="inlineStr">
        <is>
          <t>Long Book — NAV</t>
        </is>
      </c>
      <c r="B25" s="4" t="n">
        <v>886002.91</v>
      </c>
      <c r="C25" s="4" t="n">
        <v>896292.88</v>
      </c>
      <c r="D25" s="4" t="n">
        <v>559575.99</v>
      </c>
      <c r="E25" s="4" t="n">
        <v>1067006.64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3" t="n">
        <v>7180.54</v>
      </c>
      <c r="E26" s="15" t="n">
        <v>0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7180.54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649389.6</v>
      </c>
      <c r="C28" s="13" t="n">
        <v>783301.4</v>
      </c>
      <c r="D28" s="13" t="n">
        <v>359027.11</v>
      </c>
      <c r="E28" s="13" t="n">
        <v>323982.13</v>
      </c>
    </row>
    <row r="29">
      <c r="A29" s="10" t="inlineStr">
        <is>
          <t>Short Book — Market Value 市值(负债)</t>
        </is>
      </c>
      <c r="B29" s="4" t="n">
        <v>649389.6</v>
      </c>
      <c r="C29" s="4" t="n">
        <v>783301.4</v>
      </c>
      <c r="D29" s="4" t="n">
        <v>359027.11</v>
      </c>
      <c r="E29" s="4" t="n">
        <v>323982.13</v>
      </c>
    </row>
    <row r="30">
      <c r="A30" s="12" t="inlineStr">
        <is>
          <t>Short Book — Margin Loan 融资(2%)</t>
        </is>
      </c>
      <c r="B30" s="13" t="n">
        <v>12987.79</v>
      </c>
      <c r="C30" s="13" t="n">
        <v>15666.03</v>
      </c>
      <c r="D30" s="15" t="n">
        <v>0</v>
      </c>
      <c r="E30" s="13" t="n">
        <v>6479.64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7180.54</v>
      </c>
      <c r="E31" s="11" t="n">
        <v>0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379197.53</v>
      </c>
      <c r="E32" s="15" t="n">
        <v>0</v>
      </c>
    </row>
    <row r="33">
      <c r="A33" s="16" t="inlineStr">
        <is>
          <t>Dual-View NAV 双账户法NAV</t>
        </is>
      </c>
      <c r="B33" s="4" t="n">
        <v>886002.91</v>
      </c>
      <c r="C33" s="4" t="n">
        <v>896292.88</v>
      </c>
      <c r="D33" s="4" t="n">
        <v>945954.0600000001</v>
      </c>
      <c r="E33" s="4" t="n">
        <v>1067006.64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498449.14</v>
      </c>
      <c r="C39" s="4" t="n">
        <v>457865.29</v>
      </c>
      <c r="D39" s="4" t="n">
        <v>607497.89</v>
      </c>
      <c r="E39" s="4" t="n">
        <v>606171.64</v>
      </c>
    </row>
    <row r="40">
      <c r="A40" s="12" t="inlineStr">
        <is>
          <t>Restricted Cash 受限现金 (PB 102%)</t>
        </is>
      </c>
      <c r="B40" s="13" t="n">
        <v>114389.96</v>
      </c>
      <c r="C40" s="13" t="n">
        <v>150360.11</v>
      </c>
      <c r="D40" s="15" t="n">
        <v>0</v>
      </c>
      <c r="E40" s="15" t="n">
        <v>0</v>
      </c>
    </row>
    <row r="41">
      <c r="A41" s="10" t="inlineStr">
        <is>
          <t>Long Securities 多头证券</t>
        </is>
      </c>
      <c r="B41" s="4" t="n">
        <v>111727.06</v>
      </c>
      <c r="C41" s="4" t="n">
        <v>148023.18</v>
      </c>
      <c r="D41" s="11" t="n">
        <v>0</v>
      </c>
      <c r="E41" s="11" t="n">
        <v>0</v>
      </c>
    </row>
    <row r="42">
      <c r="A42" s="14" t="inlineStr">
        <is>
          <t>Total Assets 总资产</t>
        </is>
      </c>
      <c r="B42" s="13" t="n">
        <v>724566.16</v>
      </c>
      <c r="C42" s="13" t="n">
        <v>756248.58</v>
      </c>
      <c r="D42" s="13" t="n">
        <v>607497.89</v>
      </c>
      <c r="E42" s="13" t="n">
        <v>606171.64</v>
      </c>
    </row>
    <row r="43">
      <c r="A43" s="10" t="inlineStr">
        <is>
          <t>Short Securities 空头证券 (义务)</t>
        </is>
      </c>
      <c r="B43" s="4" t="n">
        <v>112147.02</v>
      </c>
      <c r="C43" s="4" t="n">
        <v>147411.87</v>
      </c>
      <c r="D43" s="11" t="n">
        <v>0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112147.02</v>
      </c>
      <c r="C45" s="4" t="n">
        <v>147411.87</v>
      </c>
      <c r="D45" s="11" t="n">
        <v>0</v>
      </c>
      <c r="E45" s="11" t="n">
        <v>0</v>
      </c>
    </row>
    <row r="46">
      <c r="A46" s="14" t="inlineStr">
        <is>
          <t>NAV (Equity) 净值 = TA - TL</t>
        </is>
      </c>
      <c r="B46" s="13" t="n">
        <v>612419.14</v>
      </c>
      <c r="C46" s="13" t="n">
        <v>608836.71</v>
      </c>
      <c r="D46" s="13" t="n">
        <v>607497.89</v>
      </c>
      <c r="E46" s="13" t="n">
        <v>606171.64</v>
      </c>
    </row>
    <row r="47">
      <c r="A47" s="10" t="inlineStr">
        <is>
          <t>Gross Leverage 总杠杆 (x)</t>
        </is>
      </c>
      <c r="B47" s="7" t="n">
        <v>0.366</v>
      </c>
      <c r="C47" s="7" t="n">
        <v>0.485</v>
      </c>
      <c r="D47" s="7" t="n">
        <v>0</v>
      </c>
      <c r="E47" s="7" t="n">
        <v>0</v>
      </c>
    </row>
    <row r="48">
      <c r="A48" s="12" t="inlineStr">
        <is>
          <t>Net Leverage 净杠杆 (x)</t>
        </is>
      </c>
      <c r="B48" s="17" t="n">
        <v>-0.001</v>
      </c>
      <c r="C48" s="17" t="n">
        <v>0.001</v>
      </c>
      <c r="D48" s="17" t="n">
        <v>0</v>
      </c>
      <c r="E48" s="17" t="n">
        <v>0</v>
      </c>
    </row>
    <row r="49">
      <c r="A49" s="10" t="inlineStr">
        <is>
          <t>PM Requirement (20%)</t>
        </is>
      </c>
      <c r="B49" s="4" t="n">
        <v>44774.82</v>
      </c>
      <c r="C49" s="4" t="n">
        <v>59087.01</v>
      </c>
      <c r="D49" s="11" t="n">
        <v>0</v>
      </c>
      <c r="E49" s="11" t="n">
        <v>0</v>
      </c>
    </row>
    <row r="50">
      <c r="A50" s="12" t="inlineStr">
        <is>
          <t>Excess Liquidity 超额流动性</t>
        </is>
      </c>
      <c r="B50" s="13" t="n">
        <v>567644.3199999999</v>
      </c>
      <c r="C50" s="13" t="n">
        <v>549749.7</v>
      </c>
      <c r="D50" s="13" t="n">
        <v>607497.89</v>
      </c>
      <c r="E50" s="13" t="n">
        <v>606171.64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111727.06</v>
      </c>
      <c r="C55" s="4" t="n">
        <v>148023.18</v>
      </c>
      <c r="D55" s="11" t="n">
        <v>0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111727.06</v>
      </c>
      <c r="C57" s="4" t="n">
        <v>148023.18</v>
      </c>
      <c r="D57" s="11" t="n">
        <v>0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111727.06</v>
      </c>
      <c r="C59" s="4" t="n">
        <v>148023.18</v>
      </c>
      <c r="D59" s="11" t="n">
        <v>0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2242.94</v>
      </c>
      <c r="C60" s="13" t="n">
        <v>2948.24</v>
      </c>
      <c r="D60" s="15" t="n">
        <v>0</v>
      </c>
      <c r="E60" s="15" t="n">
        <v>0</v>
      </c>
    </row>
    <row r="61">
      <c r="A61" s="10" t="inlineStr">
        <is>
          <t>Short Book — Collateral 担保金</t>
        </is>
      </c>
      <c r="B61" s="4" t="n">
        <v>2242.94</v>
      </c>
      <c r="C61" s="4" t="n">
        <v>2948.24</v>
      </c>
      <c r="D61" s="11" t="n">
        <v>0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112147.02</v>
      </c>
      <c r="C62" s="13" t="n">
        <v>147411.87</v>
      </c>
      <c r="D62" s="15" t="n">
        <v>0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112147.02</v>
      </c>
      <c r="C63" s="4" t="n">
        <v>147411.87</v>
      </c>
      <c r="D63" s="11" t="n">
        <v>0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2242.94</v>
      </c>
      <c r="C65" s="4" t="n">
        <v>2948.24</v>
      </c>
      <c r="D65" s="11" t="n">
        <v>0</v>
      </c>
      <c r="E65" s="11" t="n">
        <v>0</v>
      </c>
    </row>
    <row r="66">
      <c r="A66" s="12" t="inlineStr">
        <is>
          <t>Unallocated Cash 未分配现金</t>
        </is>
      </c>
      <c r="B66" s="13" t="n">
        <v>498449.14</v>
      </c>
      <c r="C66" s="13" t="n">
        <v>457865.29</v>
      </c>
      <c r="D66" s="13" t="n">
        <v>607497.89</v>
      </c>
      <c r="E66" s="13" t="n">
        <v>606171.64</v>
      </c>
    </row>
    <row r="67">
      <c r="A67" s="16" t="inlineStr">
        <is>
          <t>Dual-View NAV 双账户法NAV</t>
        </is>
      </c>
      <c r="B67" s="4" t="n">
        <v>612419.14</v>
      </c>
      <c r="C67" s="4" t="n">
        <v>608836.71</v>
      </c>
      <c r="D67" s="4" t="n">
        <v>607497.89</v>
      </c>
      <c r="E67" s="4" t="n">
        <v>606171.64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547987.4300000001</v>
      </c>
      <c r="C74" s="13" t="n">
        <v>648607.3199999999</v>
      </c>
      <c r="D74" s="13" t="n">
        <v>366207.65</v>
      </c>
      <c r="E74" s="13" t="n">
        <v>330461.77</v>
      </c>
    </row>
    <row r="75">
      <c r="A75" s="10" t="inlineStr">
        <is>
          <t>Long Securities 多头证券</t>
        </is>
      </c>
      <c r="B75" s="4" t="n">
        <v>945949.29</v>
      </c>
      <c r="C75" s="4" t="n">
        <v>1452810.41</v>
      </c>
      <c r="D75" s="4" t="n">
        <v>559575.99</v>
      </c>
      <c r="E75" s="4" t="n">
        <v>1147085.98</v>
      </c>
    </row>
    <row r="76">
      <c r="A76" s="14" t="inlineStr">
        <is>
          <t>Total Assets 总资产</t>
        </is>
      </c>
      <c r="B76" s="13" t="n">
        <v>1493936.72</v>
      </c>
      <c r="C76" s="13" t="n">
        <v>2101417.73</v>
      </c>
      <c r="D76" s="13" t="n">
        <v>925783.64</v>
      </c>
      <c r="E76" s="13" t="n">
        <v>1477547.75</v>
      </c>
    </row>
    <row r="77">
      <c r="A77" s="10" t="inlineStr">
        <is>
          <t>Short Securities 空头证券 (义务)</t>
        </is>
      </c>
      <c r="B77" s="4" t="n">
        <v>537242.58</v>
      </c>
      <c r="C77" s="4" t="n">
        <v>635889.53</v>
      </c>
      <c r="D77" s="4" t="n">
        <v>359027.11</v>
      </c>
      <c r="E77" s="4" t="n">
        <v>323982.13</v>
      </c>
    </row>
    <row r="78">
      <c r="A78" s="12" t="inlineStr">
        <is>
          <t>Margin Loan 保证金借款</t>
        </is>
      </c>
      <c r="B78" s="13" t="n">
        <v>683110.37</v>
      </c>
      <c r="C78" s="13" t="n">
        <v>1178072.03</v>
      </c>
      <c r="D78" s="13" t="n">
        <v>228300.36</v>
      </c>
      <c r="E78" s="13" t="n">
        <v>692730.62</v>
      </c>
    </row>
    <row r="79">
      <c r="A79" s="16" t="inlineStr">
        <is>
          <t>Total Liabilities 总负债</t>
        </is>
      </c>
      <c r="B79" s="4" t="n">
        <v>1220352.95</v>
      </c>
      <c r="C79" s="4" t="n">
        <v>1813961.56</v>
      </c>
      <c r="D79" s="4" t="n">
        <v>587327.47</v>
      </c>
      <c r="E79" s="4" t="n">
        <v>1016712.75</v>
      </c>
    </row>
    <row r="80">
      <c r="A80" s="14" t="inlineStr">
        <is>
          <t>NAV (Equity) 净值 = TA - TL</t>
        </is>
      </c>
      <c r="B80" s="13" t="n">
        <v>273583.77</v>
      </c>
      <c r="C80" s="13" t="n">
        <v>287456.17</v>
      </c>
      <c r="D80" s="13" t="n">
        <v>338456.17</v>
      </c>
      <c r="E80" s="13" t="n">
        <v>460835</v>
      </c>
    </row>
    <row r="81">
      <c r="A81" s="10" t="inlineStr">
        <is>
          <t>Gross Leverage 总杠杆 (x)</t>
        </is>
      </c>
      <c r="B81" s="7" t="n">
        <v>5.421</v>
      </c>
      <c r="C81" s="7" t="n">
        <v>7.266</v>
      </c>
      <c r="D81" s="7" t="n">
        <v>2.714</v>
      </c>
      <c r="E81" s="7" t="n">
        <v>3.192</v>
      </c>
    </row>
    <row r="82">
      <c r="A82" s="12" t="inlineStr">
        <is>
          <t>Net Leverage 净杠杆 (x)</t>
        </is>
      </c>
      <c r="B82" s="17" t="n">
        <v>1.494</v>
      </c>
      <c r="C82" s="17" t="n">
        <v>2.842</v>
      </c>
      <c r="D82" s="17" t="n">
        <v>0.593</v>
      </c>
      <c r="E82" s="17" t="n">
        <v>1.786</v>
      </c>
    </row>
    <row r="83">
      <c r="A83" s="10" t="inlineStr">
        <is>
          <t>PM Requirement (20%)</t>
        </is>
      </c>
      <c r="B83" s="4" t="n">
        <v>296638.37</v>
      </c>
      <c r="C83" s="4" t="n">
        <v>417739.99</v>
      </c>
      <c r="D83" s="4" t="n">
        <v>183720.62</v>
      </c>
      <c r="E83" s="4" t="n">
        <v>294213.62</v>
      </c>
    </row>
    <row r="84">
      <c r="A84" s="12" t="inlineStr">
        <is>
          <t>Excess Liquidity 超额流动性</t>
        </is>
      </c>
      <c r="B84" s="18" t="n">
        <v>-23054.6</v>
      </c>
      <c r="C84" s="18" t="n">
        <v>-130283.82</v>
      </c>
      <c r="D84" s="13" t="n">
        <v>154735.55</v>
      </c>
      <c r="E84" s="13" t="n">
        <v>166621.38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273583.77</v>
      </c>
      <c r="C89" s="4" t="n">
        <v>287456.17</v>
      </c>
      <c r="D89" s="4" t="n">
        <v>338456.17</v>
      </c>
      <c r="E89" s="4" t="n">
        <v>460835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945949.29</v>
      </c>
      <c r="C91" s="4" t="n">
        <v>1452810.41</v>
      </c>
      <c r="D91" s="4" t="n">
        <v>559575.99</v>
      </c>
      <c r="E91" s="4" t="n">
        <v>1147085.98</v>
      </c>
    </row>
    <row r="92">
      <c r="A92" s="12" t="inlineStr">
        <is>
          <t>Long Book — Margin Loan 融资</t>
        </is>
      </c>
      <c r="B92" s="13" t="n">
        <v>672365.52</v>
      </c>
      <c r="C92" s="13" t="n">
        <v>1165354.24</v>
      </c>
      <c r="D92" s="13" t="n">
        <v>221119.82</v>
      </c>
      <c r="E92" s="13" t="n">
        <v>686250.98</v>
      </c>
    </row>
    <row r="93">
      <c r="A93" s="16" t="inlineStr">
        <is>
          <t>Long Book — NAV</t>
        </is>
      </c>
      <c r="B93" s="4" t="n">
        <v>273583.77</v>
      </c>
      <c r="C93" s="4" t="n">
        <v>287456.17</v>
      </c>
      <c r="D93" s="4" t="n">
        <v>338456.17</v>
      </c>
      <c r="E93" s="4" t="n">
        <v>460835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537242.58</v>
      </c>
      <c r="C96" s="13" t="n">
        <v>635889.53</v>
      </c>
      <c r="D96" s="13" t="n">
        <v>359027.11</v>
      </c>
      <c r="E96" s="13" t="n">
        <v>323982.13</v>
      </c>
    </row>
    <row r="97">
      <c r="A97" s="10" t="inlineStr">
        <is>
          <t>Short Book — Market Value 市值(负债)</t>
        </is>
      </c>
      <c r="B97" s="4" t="n">
        <v>537242.58</v>
      </c>
      <c r="C97" s="4" t="n">
        <v>635889.53</v>
      </c>
      <c r="D97" s="4" t="n">
        <v>359027.11</v>
      </c>
      <c r="E97" s="4" t="n">
        <v>323982.13</v>
      </c>
    </row>
    <row r="98">
      <c r="A98" s="12" t="inlineStr">
        <is>
          <t>Short Book — Margin Loan 融资(2%)</t>
        </is>
      </c>
      <c r="B98" s="13" t="n">
        <v>10744.85</v>
      </c>
      <c r="C98" s="13" t="n">
        <v>12717.79</v>
      </c>
      <c r="D98" s="13" t="n">
        <v>7180.54</v>
      </c>
      <c r="E98" s="13" t="n">
        <v>6479.64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273583.77</v>
      </c>
      <c r="C101" s="4" t="n">
        <v>287456.17</v>
      </c>
      <c r="D101" s="4" t="n">
        <v>338456.17</v>
      </c>
      <c r="E101" s="4" t="n">
        <v>460835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-10289.97</v>
      </c>
      <c r="C5" s="19" t="n">
        <v>-59951.15</v>
      </c>
      <c r="D5" s="19" t="n">
        <v>-181003.73</v>
      </c>
      <c r="E5" s="19" t="n">
        <v>-35495.88</v>
      </c>
    </row>
    <row r="6">
      <c r="A6" s="12" t="inlineStr">
        <is>
          <t>Interest expense (est)</t>
        </is>
      </c>
      <c r="B6" s="15" t="n">
        <v>25.3</v>
      </c>
      <c r="C6" s="13" t="n">
        <v>126.48</v>
      </c>
      <c r="D6" s="13" t="n">
        <v>531.22</v>
      </c>
      <c r="E6" s="13" t="n">
        <v>4882.14</v>
      </c>
    </row>
    <row r="7">
      <c r="A7" s="10" t="inlineStr">
        <is>
          <t>Current unrealized PnL</t>
        </is>
      </c>
      <c r="B7" s="4" t="n">
        <v>3481.22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3582.43</v>
      </c>
      <c r="C11" s="4" t="n">
        <v>4921.25</v>
      </c>
      <c r="D11" s="4" t="n">
        <v>6247.5</v>
      </c>
      <c r="E11" s="4" t="n">
        <v>103087.2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3108.62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-13872.4</v>
      </c>
      <c r="C17" s="19" t="n">
        <v>-64872.4</v>
      </c>
      <c r="D17" s="19" t="n">
        <v>-187251.23</v>
      </c>
      <c r="E17" s="19" t="n">
        <v>-138583.08</v>
      </c>
    </row>
    <row r="18">
      <c r="A18" s="12" t="inlineStr">
        <is>
          <t>Interest expense (est)</t>
        </is>
      </c>
      <c r="B18" s="15" t="n">
        <v>93.58</v>
      </c>
      <c r="C18" s="13" t="n">
        <v>467.88</v>
      </c>
      <c r="D18" s="13" t="n">
        <v>1965.11</v>
      </c>
      <c r="E18" s="13" t="n">
        <v>18060.32</v>
      </c>
    </row>
    <row r="19">
      <c r="A19" s="10" t="inlineStr">
        <is>
          <t>Current unrealized PnL</t>
        </is>
      </c>
      <c r="B19" s="4" t="n">
        <v>372.6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896292.88</v>
      </c>
      <c r="C5" s="4" t="n">
        <v>945954.0600000001</v>
      </c>
      <c r="D5" s="4" t="n">
        <v>1067006.64</v>
      </c>
      <c r="E5" s="4" t="n">
        <v>921498.79</v>
      </c>
    </row>
    <row r="6">
      <c r="A6" s="12" t="inlineStr">
        <is>
          <t>Net income</t>
        </is>
      </c>
      <c r="B6" s="18" t="n">
        <v>-10289.97</v>
      </c>
      <c r="C6" s="18" t="n">
        <v>-59951.15</v>
      </c>
      <c r="D6" s="18" t="n">
        <v>-181003.73</v>
      </c>
      <c r="E6" s="18" t="n">
        <v>-35495.88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886002.91</v>
      </c>
      <c r="C9" s="4" t="n">
        <v>886002.91</v>
      </c>
      <c r="D9" s="4" t="n">
        <v>886002.91</v>
      </c>
      <c r="E9" s="4" t="n">
        <v>886002.91</v>
      </c>
    </row>
    <row r="10">
      <c r="A10" s="12" t="inlineStr">
        <is>
          <t>Return (%)</t>
        </is>
      </c>
      <c r="B10" s="20" t="n">
        <v>-1.15</v>
      </c>
      <c r="C10" s="20" t="n">
        <v>-6.34</v>
      </c>
      <c r="D10" s="20" t="n">
        <v>-16.96</v>
      </c>
      <c r="E10" s="20" t="n">
        <v>-3.85</v>
      </c>
    </row>
    <row r="11">
      <c r="A11" s="10" t="inlineStr">
        <is>
          <t>Max drawdown (%)</t>
        </is>
      </c>
      <c r="B11" s="21" t="n">
        <v>-1.15</v>
      </c>
      <c r="C11" s="21" t="n">
        <v>-6.34</v>
      </c>
      <c r="D11" s="21" t="n">
        <v>-18.21</v>
      </c>
      <c r="E11" s="21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608836.71</v>
      </c>
      <c r="C15" s="4" t="n">
        <v>607497.89</v>
      </c>
      <c r="D15" s="4" t="n">
        <v>606171.64</v>
      </c>
      <c r="E15" s="4" t="n">
        <v>509331.94</v>
      </c>
    </row>
    <row r="16">
      <c r="A16" s="12" t="inlineStr">
        <is>
          <t>Net income</t>
        </is>
      </c>
      <c r="B16" s="13" t="n">
        <v>3582.43</v>
      </c>
      <c r="C16" s="13" t="n">
        <v>4921.25</v>
      </c>
      <c r="D16" s="13" t="n">
        <v>6247.5</v>
      </c>
      <c r="E16" s="13" t="n">
        <v>103087.2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612419.14</v>
      </c>
      <c r="C19" s="4" t="n">
        <v>612419.14</v>
      </c>
      <c r="D19" s="4" t="n">
        <v>612419.14</v>
      </c>
      <c r="E19" s="4" t="n">
        <v>612419.14</v>
      </c>
    </row>
    <row r="20">
      <c r="A20" s="12" t="inlineStr">
        <is>
          <t>Return (%)</t>
        </is>
      </c>
      <c r="B20" s="22" t="n">
        <v>0.59</v>
      </c>
      <c r="C20" s="22" t="n">
        <v>0.8100000000000001</v>
      </c>
      <c r="D20" s="22" t="n">
        <v>1.03</v>
      </c>
      <c r="E20" s="22" t="n">
        <v>20.24</v>
      </c>
    </row>
    <row r="21">
      <c r="A21" s="10" t="inlineStr">
        <is>
          <t>Max drawdown (%)</t>
        </is>
      </c>
      <c r="B21" s="23" t="n">
        <v>0</v>
      </c>
      <c r="C21" s="21" t="n">
        <v>-0.1</v>
      </c>
      <c r="D21" s="21" t="n">
        <v>-2.43</v>
      </c>
      <c r="E21" s="21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287456.17</v>
      </c>
      <c r="C25" s="4" t="n">
        <v>338456.17</v>
      </c>
      <c r="D25" s="4" t="n">
        <v>460835</v>
      </c>
      <c r="E25" s="4" t="n">
        <v>412166.85</v>
      </c>
    </row>
    <row r="26">
      <c r="A26" s="12" t="inlineStr">
        <is>
          <t>Net income</t>
        </is>
      </c>
      <c r="B26" s="18" t="n">
        <v>-13872.4</v>
      </c>
      <c r="C26" s="18" t="n">
        <v>-64872.4</v>
      </c>
      <c r="D26" s="18" t="n">
        <v>-187251.23</v>
      </c>
      <c r="E26" s="18" t="n">
        <v>-138583.08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273583.77</v>
      </c>
      <c r="C29" s="4" t="n">
        <v>273583.77</v>
      </c>
      <c r="D29" s="4" t="n">
        <v>273583.77</v>
      </c>
      <c r="E29" s="4" t="n">
        <v>273583.77</v>
      </c>
    </row>
    <row r="30">
      <c r="A30" s="12" t="inlineStr">
        <is>
          <t>Return (%)</t>
        </is>
      </c>
      <c r="B30" s="20" t="n">
        <v>-4.83</v>
      </c>
      <c r="C30" s="20" t="n">
        <v>-19.17</v>
      </c>
      <c r="D30" s="20" t="n">
        <v>-40.63</v>
      </c>
      <c r="E30" s="20" t="n">
        <v>-33.62</v>
      </c>
    </row>
    <row r="31">
      <c r="A31" s="10" t="inlineStr">
        <is>
          <t>Max drawdown (%)</t>
        </is>
      </c>
      <c r="B31" s="21" t="n">
        <v>-4.83</v>
      </c>
      <c r="C31" s="21" t="n">
        <v>-19.17</v>
      </c>
      <c r="D31" s="21" t="n">
        <v>-41.55</v>
      </c>
      <c r="E31" s="21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-59951.15</v>
      </c>
    </row>
    <row r="5">
      <c r="A5" s="3" t="inlineStr">
        <is>
          <t>Investing cash flow</t>
        </is>
      </c>
      <c r="B5" s="19" t="n">
        <v>-207737.87</v>
      </c>
    </row>
    <row r="6">
      <c r="A6" s="3" t="inlineStr">
        <is>
          <t>Financing cash flow</t>
        </is>
      </c>
      <c r="B6" s="4" t="n">
        <v>184661.23</v>
      </c>
    </row>
    <row r="7">
      <c r="A7" s="3" t="inlineStr">
        <is>
          <t>Net change in cash</t>
        </is>
      </c>
      <c r="B7" s="19" t="n">
        <v>-83027.78999999999</v>
      </c>
    </row>
    <row r="8">
      <c r="A8" s="3" t="inlineStr">
        <is>
          <t>Beginning cash</t>
        </is>
      </c>
      <c r="B8" s="4" t="n">
        <v>379197.53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886002.91</v>
      </c>
      <c r="C4" s="4" t="n">
        <v>1057676.35</v>
      </c>
      <c r="D4" s="4" t="n">
        <v>649389.6</v>
      </c>
      <c r="E4" s="4" t="n">
        <v>1707065.95</v>
      </c>
      <c r="F4" s="4" t="n">
        <v>408286.75</v>
      </c>
      <c r="G4" s="5" t="n">
        <v>1.927</v>
      </c>
      <c r="H4" s="5" t="n">
        <v>0.461</v>
      </c>
      <c r="I4" s="5" t="n">
        <v>192.67</v>
      </c>
      <c r="J4" s="5" t="n">
        <v>96.34</v>
      </c>
      <c r="K4" s="24" t="n">
        <v>8</v>
      </c>
    </row>
    <row r="5">
      <c r="A5" s="12" t="inlineStr">
        <is>
          <t>MRPT</t>
        </is>
      </c>
      <c r="B5" s="13" t="n">
        <v>612419.14</v>
      </c>
      <c r="C5" s="13" t="n">
        <v>111727.06</v>
      </c>
      <c r="D5" s="13" t="n">
        <v>112147.02</v>
      </c>
      <c r="E5" s="13" t="n">
        <v>223874.08</v>
      </c>
      <c r="F5" s="18" t="n">
        <v>-419.96</v>
      </c>
      <c r="G5" s="25" t="n">
        <v>0.366</v>
      </c>
      <c r="H5" s="25" t="n">
        <v>-0.001</v>
      </c>
      <c r="I5" s="25" t="n">
        <v>36.56</v>
      </c>
      <c r="J5" s="25" t="n">
        <v>18.28</v>
      </c>
      <c r="K5" s="26" t="n">
        <v>2</v>
      </c>
    </row>
    <row r="6">
      <c r="A6" s="10" t="inlineStr">
        <is>
          <t>MTFS</t>
        </is>
      </c>
      <c r="B6" s="4" t="n">
        <v>273583.77</v>
      </c>
      <c r="C6" s="4" t="n">
        <v>945949.29</v>
      </c>
      <c r="D6" s="4" t="n">
        <v>537242.58</v>
      </c>
      <c r="E6" s="4" t="n">
        <v>1483191.87</v>
      </c>
      <c r="F6" s="4" t="n">
        <v>408706.71</v>
      </c>
      <c r="G6" s="5" t="n">
        <v>5.421</v>
      </c>
      <c r="H6" s="5" t="n">
        <v>1.494</v>
      </c>
      <c r="I6" s="5" t="n">
        <v>542.13</v>
      </c>
      <c r="J6" s="5" t="n">
        <v>271.07</v>
      </c>
      <c r="K6" s="24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HHI=0.1457  ·  effective N pairs=6.9  ·  max pair=20.4%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PANW</t>
        </is>
      </c>
      <c r="B6" s="4" t="n">
        <v>289029.96</v>
      </c>
      <c r="C6" s="4" t="n">
        <v>289029.96</v>
      </c>
      <c r="D6" s="23" t="n">
        <v>32.62</v>
      </c>
      <c r="E6" s="23" t="n">
        <v>16.93</v>
      </c>
      <c r="F6" s="24" t="n">
        <v>1</v>
      </c>
    </row>
    <row r="7">
      <c r="A7" s="12" t="inlineStr">
        <is>
          <t>MLM</t>
        </is>
      </c>
      <c r="B7" s="13" t="n">
        <v>209390.92</v>
      </c>
      <c r="C7" s="18" t="n">
        <v>-209390.92</v>
      </c>
      <c r="D7" s="22" t="n">
        <v>23.63</v>
      </c>
      <c r="E7" s="22" t="n">
        <v>12.27</v>
      </c>
      <c r="F7" s="26" t="n">
        <v>2</v>
      </c>
    </row>
    <row r="8">
      <c r="A8" s="10" t="inlineStr">
        <is>
          <t>DGX</t>
        </is>
      </c>
      <c r="B8" s="4" t="n">
        <v>152640</v>
      </c>
      <c r="C8" s="4" t="n">
        <v>152640</v>
      </c>
      <c r="D8" s="23" t="n">
        <v>17.23</v>
      </c>
      <c r="E8" s="23" t="n">
        <v>8.94</v>
      </c>
      <c r="F8" s="24" t="n">
        <v>1</v>
      </c>
    </row>
    <row r="9">
      <c r="A9" s="12" t="inlineStr">
        <is>
          <t>WTW</t>
        </is>
      </c>
      <c r="B9" s="13" t="n">
        <v>150624.43</v>
      </c>
      <c r="C9" s="13" t="n">
        <v>150624.43</v>
      </c>
      <c r="D9" s="22" t="n">
        <v>17</v>
      </c>
      <c r="E9" s="22" t="n">
        <v>8.82</v>
      </c>
      <c r="F9" s="26" t="n">
        <v>1</v>
      </c>
    </row>
    <row r="10">
      <c r="A10" s="10" t="inlineStr">
        <is>
          <t>NKE</t>
        </is>
      </c>
      <c r="B10" s="4" t="n">
        <v>150108</v>
      </c>
      <c r="C10" s="19" t="n">
        <v>-150108</v>
      </c>
      <c r="D10" s="23" t="n">
        <v>16.94</v>
      </c>
      <c r="E10" s="23" t="n">
        <v>8.789999999999999</v>
      </c>
      <c r="F10" s="24" t="n">
        <v>1</v>
      </c>
    </row>
    <row r="11">
      <c r="A11" s="12" t="inlineStr">
        <is>
          <t>NTAP</t>
        </is>
      </c>
      <c r="B11" s="13" t="n">
        <v>119675</v>
      </c>
      <c r="C11" s="13" t="n">
        <v>119675</v>
      </c>
      <c r="D11" s="22" t="n">
        <v>13.51</v>
      </c>
      <c r="E11" s="22" t="n">
        <v>7.01</v>
      </c>
      <c r="F11" s="26" t="n">
        <v>1</v>
      </c>
    </row>
    <row r="12">
      <c r="A12" s="10" t="inlineStr">
        <is>
          <t>CRL</t>
        </is>
      </c>
      <c r="B12" s="4" t="n">
        <v>118948.48</v>
      </c>
      <c r="C12" s="4" t="n">
        <v>118948.48</v>
      </c>
      <c r="D12" s="23" t="n">
        <v>13.43</v>
      </c>
      <c r="E12" s="23" t="n">
        <v>6.97</v>
      </c>
      <c r="F12" s="24" t="n">
        <v>1</v>
      </c>
    </row>
    <row r="13">
      <c r="A13" s="12" t="inlineStr">
        <is>
          <t>HPE</t>
        </is>
      </c>
      <c r="B13" s="13" t="n">
        <v>115031.42</v>
      </c>
      <c r="C13" s="13" t="n">
        <v>115031.42</v>
      </c>
      <c r="D13" s="22" t="n">
        <v>12.98</v>
      </c>
      <c r="E13" s="22" t="n">
        <v>6.74</v>
      </c>
      <c r="F13" s="26" t="n">
        <v>1</v>
      </c>
    </row>
    <row r="14">
      <c r="A14" s="10" t="inlineStr">
        <is>
          <t>ADI</t>
        </is>
      </c>
      <c r="B14" s="4" t="n">
        <v>68670.42</v>
      </c>
      <c r="C14" s="4" t="n">
        <v>68670.42</v>
      </c>
      <c r="D14" s="23" t="n">
        <v>7.75</v>
      </c>
      <c r="E14" s="23" t="n">
        <v>4.02</v>
      </c>
      <c r="F14" s="24" t="n">
        <v>1</v>
      </c>
    </row>
    <row r="15">
      <c r="A15" s="12" t="inlineStr">
        <is>
          <t>AKAM</t>
        </is>
      </c>
      <c r="B15" s="13" t="n">
        <v>67692.05</v>
      </c>
      <c r="C15" s="18" t="n">
        <v>-67692.05</v>
      </c>
      <c r="D15" s="22" t="n">
        <v>7.64</v>
      </c>
      <c r="E15" s="22" t="n">
        <v>3.97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635463.4399999999</v>
      </c>
      <c r="C20" s="4" t="n">
        <v>112147.02</v>
      </c>
      <c r="D20" s="4" t="n">
        <v>523316.42</v>
      </c>
      <c r="E20" s="7" t="n">
        <v>30.66</v>
      </c>
    </row>
    <row r="21">
      <c r="A21" s="12" t="inlineStr">
        <is>
          <t>health</t>
        </is>
      </c>
      <c r="B21" s="13" t="n">
        <v>271588.48</v>
      </c>
      <c r="C21" s="15" t="n">
        <v>0</v>
      </c>
      <c r="D21" s="13" t="n">
        <v>271588.48</v>
      </c>
      <c r="E21" s="17" t="n">
        <v>15.91</v>
      </c>
    </row>
    <row r="22">
      <c r="A22" s="10" t="inlineStr">
        <is>
          <t>materials</t>
        </is>
      </c>
      <c r="B22" s="11" t="n">
        <v>0</v>
      </c>
      <c r="C22" s="4" t="n">
        <v>209390.92</v>
      </c>
      <c r="D22" s="19" t="n">
        <v>-209390.92</v>
      </c>
      <c r="E22" s="7" t="n">
        <v>-12.27</v>
      </c>
    </row>
    <row r="23">
      <c r="A23" s="12" t="inlineStr">
        <is>
          <t>finance</t>
        </is>
      </c>
      <c r="B23" s="13" t="n">
        <v>150624.43</v>
      </c>
      <c r="C23" s="15" t="n">
        <v>0</v>
      </c>
      <c r="D23" s="13" t="n">
        <v>150624.43</v>
      </c>
      <c r="E23" s="17" t="n">
        <v>8.82</v>
      </c>
    </row>
    <row r="24">
      <c r="A24" s="10" t="inlineStr">
        <is>
          <t>food</t>
        </is>
      </c>
      <c r="B24" s="11" t="n">
        <v>0</v>
      </c>
      <c r="C24" s="4" t="n">
        <v>150108</v>
      </c>
      <c r="D24" s="19" t="n">
        <v>-150108</v>
      </c>
      <c r="E24" s="7" t="n">
        <v>-8.789999999999999</v>
      </c>
    </row>
    <row r="25">
      <c r="A25" s="12" t="inlineStr">
        <is>
          <t>telecom</t>
        </is>
      </c>
      <c r="B25" s="15" t="n">
        <v>0</v>
      </c>
      <c r="C25" s="13" t="n">
        <v>60469.92</v>
      </c>
      <c r="D25" s="18" t="n">
        <v>-60469.92</v>
      </c>
      <c r="E25" s="17" t="n">
        <v>-3.54</v>
      </c>
    </row>
    <row r="26">
      <c r="A26" s="10" t="inlineStr">
        <is>
          <t>other</t>
        </is>
      </c>
      <c r="B26" s="11" t="n">
        <v>0</v>
      </c>
      <c r="C26" s="4" t="n">
        <v>59266.34</v>
      </c>
      <c r="D26" s="19" t="n">
        <v>-59266.34</v>
      </c>
      <c r="E26" s="7" t="n">
        <v>-3.47</v>
      </c>
    </row>
    <row r="27">
      <c r="A27" s="12" t="inlineStr">
        <is>
          <t>industrial</t>
        </is>
      </c>
      <c r="B27" s="15" t="n">
        <v>0</v>
      </c>
      <c r="C27" s="13" t="n">
        <v>58007.4</v>
      </c>
      <c r="D27" s="18" t="n">
        <v>-58007.4</v>
      </c>
      <c r="E27" s="17" t="n">
        <v>-3.4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0.918</v>
      </c>
    </row>
    <row r="4">
      <c r="A4" s="3" t="inlineStr">
        <is>
          <t>Gross beta</t>
        </is>
      </c>
      <c r="B4" s="5" t="n">
        <v>2.267</v>
      </c>
    </row>
    <row r="5">
      <c r="A5" s="3" t="inlineStr">
        <is>
          <t>Momentum factor net (% NAV)</t>
        </is>
      </c>
      <c r="B5" s="5" t="n">
        <v>46.13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30.66</v>
      </c>
    </row>
    <row r="11">
      <c r="A11" s="12" t="inlineStr">
        <is>
          <t>health</t>
        </is>
      </c>
      <c r="B11" s="22" t="n">
        <v>15.91</v>
      </c>
    </row>
    <row r="12">
      <c r="A12" s="10" t="inlineStr">
        <is>
          <t>materials</t>
        </is>
      </c>
      <c r="B12" s="21" t="n">
        <v>-12.27</v>
      </c>
    </row>
    <row r="13">
      <c r="A13" s="12" t="inlineStr">
        <is>
          <t>finance</t>
        </is>
      </c>
      <c r="B13" s="22" t="n">
        <v>8.82</v>
      </c>
    </row>
    <row r="14">
      <c r="A14" s="10" t="inlineStr">
        <is>
          <t>food</t>
        </is>
      </c>
      <c r="B14" s="21" t="n">
        <v>-8.789999999999999</v>
      </c>
    </row>
    <row r="15">
      <c r="A15" s="12" t="inlineStr">
        <is>
          <t>telecom</t>
        </is>
      </c>
      <c r="B15" s="20" t="n">
        <v>-3.54</v>
      </c>
    </row>
    <row r="16">
      <c r="A16" s="10" t="inlineStr">
        <is>
          <t>other</t>
        </is>
      </c>
      <c r="B16" s="21" t="n">
        <v>-3.47</v>
      </c>
    </row>
    <row r="17">
      <c r="A17" s="12" t="inlineStr">
        <is>
          <t>industrial</t>
        </is>
      </c>
      <c r="B17" s="20" t="n">
        <v>-3.4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26889.56</v>
      </c>
    </row>
    <row r="4">
      <c r="A4" s="3" t="inlineStr">
        <is>
          <t>Parametric VaR 99% 1d ($)</t>
        </is>
      </c>
      <c r="B4" s="4" t="n">
        <v>38021.35</v>
      </c>
    </row>
    <row r="5">
      <c r="A5" s="3" t="inlineStr">
        <is>
          <t>Annual vol ($)</t>
        </is>
      </c>
      <c r="B5" s="4" t="n">
        <v>259488.47</v>
      </c>
    </row>
    <row r="6">
      <c r="A6" s="3" t="inlineStr">
        <is>
          <t>Annual vol (% NAV)</t>
        </is>
      </c>
      <c r="B6" s="5" t="n">
        <v>29.29</v>
      </c>
    </row>
    <row r="7">
      <c r="A7" s="3" t="inlineStr">
        <is>
          <t>Historical VaR 95% 1d ($)</t>
        </is>
      </c>
      <c r="B7" s="4" t="n">
        <v>16737.21</v>
      </c>
    </row>
    <row r="8">
      <c r="A8" s="3" t="inlineStr">
        <is>
          <t>Historical CVaR 95% 1d ($)</t>
        </is>
      </c>
      <c r="B8" s="4" t="n">
        <v>20806.28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PANW/LKQ</t>
        </is>
      </c>
      <c r="B12" s="4" t="n">
        <v>10410.57</v>
      </c>
      <c r="C12" s="7" t="n">
        <v>38.72</v>
      </c>
    </row>
    <row r="13">
      <c r="A13" s="12" t="inlineStr">
        <is>
          <t>HPE/TMUS</t>
        </is>
      </c>
      <c r="B13" s="13" t="n">
        <v>5391.71</v>
      </c>
      <c r="C13" s="17" t="n">
        <v>20.05</v>
      </c>
    </row>
    <row r="14">
      <c r="A14" s="10" t="inlineStr">
        <is>
          <t>NTAP/TXT</t>
        </is>
      </c>
      <c r="B14" s="4" t="n">
        <v>3280.09</v>
      </c>
      <c r="C14" s="7" t="n">
        <v>12.2</v>
      </c>
    </row>
    <row r="15">
      <c r="A15" s="12" t="inlineStr">
        <is>
          <t>WTW/MLM</t>
        </is>
      </c>
      <c r="B15" s="13" t="n">
        <v>2167.67</v>
      </c>
      <c r="C15" s="17" t="n">
        <v>8.06</v>
      </c>
    </row>
    <row r="16">
      <c r="A16" s="10" t="inlineStr">
        <is>
          <t>DGX/NKE</t>
        </is>
      </c>
      <c r="B16" s="4" t="n">
        <v>1975.56</v>
      </c>
      <c r="C16" s="7" t="n">
        <v>7.35</v>
      </c>
    </row>
    <row r="17">
      <c r="A17" s="12" t="inlineStr">
        <is>
          <t>CRL/MLM</t>
        </is>
      </c>
      <c r="B17" s="13" t="n">
        <v>1687.99</v>
      </c>
      <c r="C17" s="17" t="n">
        <v>6.28</v>
      </c>
    </row>
    <row r="18">
      <c r="A18" s="10" t="inlineStr">
        <is>
          <t>ADI/AKAM</t>
        </is>
      </c>
      <c r="B18" s="4" t="n">
        <v>999.59</v>
      </c>
      <c r="C18" s="7" t="n">
        <v>3.72</v>
      </c>
    </row>
    <row r="19">
      <c r="A19" s="12" t="inlineStr">
        <is>
          <t>AMD/NVDA</t>
        </is>
      </c>
      <c r="B19" s="13" t="n">
        <v>976.38</v>
      </c>
      <c r="C19" s="17" t="n">
        <v>3.63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AMD</t>
        </is>
      </c>
      <c r="B6" s="7" t="inlineStr">
        <is>
          <t>AMD/NVDA</t>
        </is>
      </c>
      <c r="C6" s="11" t="n">
        <v>88</v>
      </c>
      <c r="D6" s="4" t="n">
        <v>29726255</v>
      </c>
      <c r="E6" s="7" t="n">
        <v>0</v>
      </c>
    </row>
    <row r="7">
      <c r="A7" s="12" t="inlineStr">
        <is>
          <t>NVDA</t>
        </is>
      </c>
      <c r="B7" s="17" t="inlineStr">
        <is>
          <t>AMD/NVDA</t>
        </is>
      </c>
      <c r="C7" s="13" t="n">
        <v>203</v>
      </c>
      <c r="D7" s="13" t="n">
        <v>129215867</v>
      </c>
      <c r="E7" s="17" t="n">
        <v>0</v>
      </c>
    </row>
    <row r="8">
      <c r="A8" s="10" t="inlineStr">
        <is>
          <t>ADI</t>
        </is>
      </c>
      <c r="B8" s="7" t="inlineStr">
        <is>
          <t>ADI/AKAM</t>
        </is>
      </c>
      <c r="C8" s="4" t="n">
        <v>182</v>
      </c>
      <c r="D8" s="4" t="n">
        <v>3961288</v>
      </c>
      <c r="E8" s="7" t="n">
        <v>0</v>
      </c>
    </row>
    <row r="9">
      <c r="A9" s="12" t="inlineStr">
        <is>
          <t>AKAM</t>
        </is>
      </c>
      <c r="B9" s="17" t="inlineStr">
        <is>
          <t>ADI/AKAM</t>
        </is>
      </c>
      <c r="C9" s="13" t="n">
        <v>571</v>
      </c>
      <c r="D9" s="13" t="n">
        <v>3341787</v>
      </c>
      <c r="E9" s="17" t="n">
        <v>0</v>
      </c>
    </row>
    <row r="10">
      <c r="A10" s="10" t="inlineStr">
        <is>
          <t>DGX</t>
        </is>
      </c>
      <c r="B10" s="7" t="inlineStr">
        <is>
          <t>DGX/NKE</t>
        </is>
      </c>
      <c r="C10" s="4" t="n">
        <v>640</v>
      </c>
      <c r="D10" s="4" t="n">
        <v>1121963</v>
      </c>
      <c r="E10" s="7" t="n">
        <v>0</v>
      </c>
    </row>
    <row r="11">
      <c r="A11" s="12" t="inlineStr">
        <is>
          <t>NKE</t>
        </is>
      </c>
      <c r="B11" s="17" t="inlineStr">
        <is>
          <t>DGX/NKE</t>
        </is>
      </c>
      <c r="C11" s="13" t="n">
        <v>3574</v>
      </c>
      <c r="D11" s="13" t="n">
        <v>18397404</v>
      </c>
      <c r="E11" s="17" t="n">
        <v>0</v>
      </c>
    </row>
    <row r="12">
      <c r="A12" s="10" t="inlineStr">
        <is>
          <t>WTW</t>
        </is>
      </c>
      <c r="B12" s="7" t="inlineStr">
        <is>
          <t>WTW/MLM</t>
        </is>
      </c>
      <c r="C12" s="4" t="n">
        <v>443</v>
      </c>
      <c r="D12" s="4" t="n">
        <v>579159</v>
      </c>
      <c r="E12" s="7" t="n">
        <v>0</v>
      </c>
    </row>
    <row r="13">
      <c r="A13" s="12" t="inlineStr">
        <is>
          <t>MLM</t>
        </is>
      </c>
      <c r="B13" s="17" t="inlineStr">
        <is>
          <t>WTW/MLM</t>
        </is>
      </c>
      <c r="C13" s="13" t="n">
        <v>284</v>
      </c>
      <c r="D13" s="13" t="n">
        <v>596991</v>
      </c>
      <c r="E13" s="17" t="n">
        <v>0</v>
      </c>
    </row>
    <row r="14">
      <c r="A14" s="10" t="inlineStr">
        <is>
          <t>HPE</t>
        </is>
      </c>
      <c r="B14" s="7" t="inlineStr">
        <is>
          <t>HPE/TMUS</t>
        </is>
      </c>
      <c r="C14" s="4" t="n">
        <v>2194</v>
      </c>
      <c r="D14" s="4" t="n">
        <v>17121449</v>
      </c>
      <c r="E14" s="7" t="n">
        <v>0</v>
      </c>
    </row>
    <row r="15">
      <c r="A15" s="12" t="inlineStr">
        <is>
          <t>TMUS</t>
        </is>
      </c>
      <c r="B15" s="17" t="inlineStr">
        <is>
          <t>HPE/TMUS</t>
        </is>
      </c>
      <c r="C15" s="13" t="n">
        <v>336</v>
      </c>
      <c r="D15" s="13" t="n">
        <v>5054832</v>
      </c>
      <c r="E15" s="17" t="n">
        <v>0</v>
      </c>
    </row>
    <row r="16">
      <c r="A16" s="10" t="inlineStr">
        <is>
          <t>PANW</t>
        </is>
      </c>
      <c r="B16" s="7" t="inlineStr">
        <is>
          <t>PANW/LKQ</t>
        </is>
      </c>
      <c r="C16" s="4" t="n">
        <v>804</v>
      </c>
      <c r="D16" s="4" t="n">
        <v>6142450</v>
      </c>
      <c r="E16" s="7" t="n">
        <v>0</v>
      </c>
    </row>
    <row r="17">
      <c r="A17" s="12" t="inlineStr">
        <is>
          <t>LKQ</t>
        </is>
      </c>
      <c r="B17" s="17" t="inlineStr">
        <is>
          <t>PANW/LKQ</t>
        </is>
      </c>
      <c r="C17" s="13" t="n">
        <v>2422</v>
      </c>
      <c r="D17" s="13" t="n">
        <v>3435891</v>
      </c>
      <c r="E17" s="17" t="n">
        <v>0</v>
      </c>
    </row>
    <row r="18">
      <c r="A18" s="10" t="inlineStr">
        <is>
          <t>NTAP</t>
        </is>
      </c>
      <c r="B18" s="7" t="inlineStr">
        <is>
          <t>NTAP/TXT</t>
        </is>
      </c>
      <c r="C18" s="4" t="n">
        <v>625</v>
      </c>
      <c r="D18" s="4" t="n">
        <v>2485001</v>
      </c>
      <c r="E18" s="7" t="n">
        <v>0</v>
      </c>
    </row>
    <row r="19">
      <c r="A19" s="12" t="inlineStr">
        <is>
          <t>TXT</t>
        </is>
      </c>
      <c r="B19" s="17" t="inlineStr">
        <is>
          <t>NTAP/TXT</t>
        </is>
      </c>
      <c r="C19" s="13" t="n">
        <v>660</v>
      </c>
      <c r="D19" s="13" t="n">
        <v>1812746</v>
      </c>
      <c r="E19" s="17" t="n">
        <v>0</v>
      </c>
    </row>
    <row r="20">
      <c r="A20" s="10" t="inlineStr">
        <is>
          <t>CRL</t>
        </is>
      </c>
      <c r="B20" s="7" t="inlineStr">
        <is>
          <t>CRL/MLM</t>
        </is>
      </c>
      <c r="C20" s="4" t="n">
        <v>448</v>
      </c>
      <c r="D20" s="4" t="n">
        <v>927741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-40667.53</v>
      </c>
      <c r="C4" s="21" t="n">
        <v>-4.59</v>
      </c>
    </row>
    <row r="5">
      <c r="A5" s="12" t="inlineStr">
        <is>
          <t>SPY -10%</t>
        </is>
      </c>
      <c r="B5" s="18" t="n">
        <v>-81335.07000000001</v>
      </c>
      <c r="C5" s="20" t="n">
        <v>-9.18</v>
      </c>
    </row>
    <row r="6">
      <c r="A6" s="10" t="inlineStr">
        <is>
          <t>VIX +10pt</t>
        </is>
      </c>
      <c r="B6" s="19" t="n">
        <v>-40667.53</v>
      </c>
      <c r="C6" s="21" t="n">
        <v>-4.59</v>
      </c>
    </row>
    <row r="7">
      <c r="A7" s="12" t="inlineStr">
        <is>
          <t>Top sector -10%</t>
        </is>
      </c>
      <c r="B7" s="18" t="n">
        <v>-52331.64</v>
      </c>
      <c r="C7" s="20" t="n">
        <v>-5.91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0.37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5.42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1.49</v>
      </c>
      <c r="D7" s="30" t="n">
        <v>2</v>
      </c>
      <c r="E7" s="30" t="n">
        <v>3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PANW</t>
        </is>
      </c>
      <c r="C8" s="32" t="n">
        <v>32.62</v>
      </c>
      <c r="D8" s="32" t="n">
        <v>30</v>
      </c>
      <c r="E8" s="32" t="n">
        <v>45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MLM</t>
        </is>
      </c>
      <c r="C9" s="30" t="n">
        <v>23.63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DGX</t>
        </is>
      </c>
      <c r="C10" s="30" t="n">
        <v>17.23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30.66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20.4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0.92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3.03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6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AMD/NVDA</t>
        </is>
      </c>
      <c r="C4" s="17" t="inlineStr">
        <is>
          <t>AMD</t>
        </is>
      </c>
      <c r="D4" s="17" t="inlineStr">
        <is>
          <t>long</t>
        </is>
      </c>
      <c r="E4" s="26" t="n">
        <v>88</v>
      </c>
      <c r="F4" s="13" t="n">
        <v>489.28</v>
      </c>
      <c r="G4" s="13" t="n">
        <v>43056.64</v>
      </c>
      <c r="H4" s="17" t="inlineStr">
        <is>
          <t>tech</t>
        </is>
      </c>
      <c r="I4" s="17" t="n">
        <v>1</v>
      </c>
      <c r="J4" s="17" t="inlineStr">
        <is>
          <t>flash_hold</t>
        </is>
      </c>
    </row>
    <row r="5">
      <c r="A5" s="10" t="inlineStr">
        <is>
          <t>MRPT</t>
        </is>
      </c>
      <c r="B5" s="7" t="inlineStr">
        <is>
          <t>AMD/NVDA</t>
        </is>
      </c>
      <c r="C5" s="7" t="inlineStr">
        <is>
          <t>NVDA</t>
        </is>
      </c>
      <c r="D5" s="7" t="inlineStr">
        <is>
          <t>short</t>
        </is>
      </c>
      <c r="E5" s="24" t="n">
        <v>-203</v>
      </c>
      <c r="F5" s="4" t="n">
        <v>218.99</v>
      </c>
      <c r="G5" s="19" t="n">
        <v>-44454.97</v>
      </c>
      <c r="H5" s="7" t="inlineStr">
        <is>
          <t>tech</t>
        </is>
      </c>
      <c r="I5" s="7" t="n">
        <v>1</v>
      </c>
      <c r="J5" s="7" t="inlineStr">
        <is>
          <t>flash_hold</t>
        </is>
      </c>
    </row>
    <row r="6">
      <c r="A6" s="12" t="inlineStr">
        <is>
          <t>MRPT</t>
        </is>
      </c>
      <c r="B6" s="17" t="inlineStr">
        <is>
          <t>ADI/AKAM</t>
        </is>
      </c>
      <c r="C6" s="17" t="inlineStr">
        <is>
          <t>ADI</t>
        </is>
      </c>
      <c r="D6" s="17" t="inlineStr">
        <is>
          <t>long</t>
        </is>
      </c>
      <c r="E6" s="26" t="n">
        <v>182</v>
      </c>
      <c r="F6" s="13" t="n">
        <v>377.31</v>
      </c>
      <c r="G6" s="13" t="n">
        <v>68670.42</v>
      </c>
      <c r="H6" s="17" t="inlineStr">
        <is>
          <t>tech</t>
        </is>
      </c>
      <c r="I6" s="17" t="n">
        <v>3</v>
      </c>
      <c r="J6" s="17" t="inlineStr">
        <is>
          <t>high_vol_specialist</t>
        </is>
      </c>
    </row>
    <row r="7">
      <c r="A7" s="10" t="inlineStr">
        <is>
          <t>MRPT</t>
        </is>
      </c>
      <c r="B7" s="7" t="inlineStr">
        <is>
          <t>ADI/AKAM</t>
        </is>
      </c>
      <c r="C7" s="7" t="inlineStr">
        <is>
          <t>AKAM</t>
        </is>
      </c>
      <c r="D7" s="7" t="inlineStr">
        <is>
          <t>short</t>
        </is>
      </c>
      <c r="E7" s="24" t="n">
        <v>-571</v>
      </c>
      <c r="F7" s="4" t="n">
        <v>118.55</v>
      </c>
      <c r="G7" s="19" t="n">
        <v>-67692.05</v>
      </c>
      <c r="H7" s="7" t="inlineStr">
        <is>
          <t>tech</t>
        </is>
      </c>
      <c r="I7" s="7" t="n">
        <v>3</v>
      </c>
      <c r="J7" s="7" t="inlineStr">
        <is>
          <t>high_vol_specialist</t>
        </is>
      </c>
    </row>
    <row r="8">
      <c r="A8" s="12" t="inlineStr">
        <is>
          <t>MTFS</t>
        </is>
      </c>
      <c r="B8" s="17" t="inlineStr">
        <is>
          <t>DGX/NKE</t>
        </is>
      </c>
      <c r="C8" s="17" t="inlineStr">
        <is>
          <t>DGX</t>
        </is>
      </c>
      <c r="D8" s="17" t="inlineStr">
        <is>
          <t>long</t>
        </is>
      </c>
      <c r="E8" s="26" t="n">
        <v>640</v>
      </c>
      <c r="F8" s="13" t="n">
        <v>238.5</v>
      </c>
      <c r="G8" s="13" t="n">
        <v>152640</v>
      </c>
      <c r="H8" s="17" t="inlineStr">
        <is>
          <t>health</t>
        </is>
      </c>
      <c r="I8" s="17" t="n">
        <v>4</v>
      </c>
      <c r="J8" s="17" t="inlineStr">
        <is>
          <t>entry_threshold_strong</t>
        </is>
      </c>
    </row>
    <row r="9">
      <c r="A9" s="10" t="inlineStr">
        <is>
          <t>MTFS</t>
        </is>
      </c>
      <c r="B9" s="7" t="inlineStr">
        <is>
          <t>DGX/NKE</t>
        </is>
      </c>
      <c r="C9" s="7" t="inlineStr">
        <is>
          <t>NKE</t>
        </is>
      </c>
      <c r="D9" s="7" t="inlineStr">
        <is>
          <t>short</t>
        </is>
      </c>
      <c r="E9" s="24" t="n">
        <v>-3574</v>
      </c>
      <c r="F9" s="11" t="n">
        <v>42</v>
      </c>
      <c r="G9" s="19" t="n">
        <v>-150108</v>
      </c>
      <c r="H9" s="7" t="inlineStr">
        <is>
          <t>food</t>
        </is>
      </c>
      <c r="I9" s="7" t="n">
        <v>4</v>
      </c>
      <c r="J9" s="7" t="inlineStr">
        <is>
          <t>entry_threshold_strong</t>
        </is>
      </c>
    </row>
    <row r="10">
      <c r="A10" s="12" t="inlineStr">
        <is>
          <t>MTFS</t>
        </is>
      </c>
      <c r="B10" s="17" t="inlineStr">
        <is>
          <t>WTW/MLM</t>
        </is>
      </c>
      <c r="C10" s="17" t="inlineStr">
        <is>
          <t>WTW</t>
        </is>
      </c>
      <c r="D10" s="17" t="inlineStr">
        <is>
          <t>long</t>
        </is>
      </c>
      <c r="E10" s="26" t="n">
        <v>443</v>
      </c>
      <c r="F10" s="13" t="n">
        <v>340.01</v>
      </c>
      <c r="G10" s="13" t="n">
        <v>150624.43</v>
      </c>
      <c r="H10" s="17" t="inlineStr">
        <is>
          <t>finance</t>
        </is>
      </c>
      <c r="I10" s="17" t="n">
        <v>4</v>
      </c>
      <c r="J10" s="17" t="inlineStr">
        <is>
          <t>monthly_ali…dows_fc_skip</t>
        </is>
      </c>
    </row>
    <row r="11">
      <c r="A11" s="10" t="inlineStr">
        <is>
          <t>MTFS</t>
        </is>
      </c>
      <c r="B11" s="7" t="inlineStr">
        <is>
          <t>WTW/MLM</t>
        </is>
      </c>
      <c r="C11" s="7" t="inlineStr">
        <is>
          <t>MLM</t>
        </is>
      </c>
      <c r="D11" s="7" t="inlineStr">
        <is>
          <t>short</t>
        </is>
      </c>
      <c r="E11" s="24" t="n">
        <v>-284</v>
      </c>
      <c r="F11" s="4" t="n">
        <v>538.28</v>
      </c>
      <c r="G11" s="19" t="n">
        <v>-152871.52</v>
      </c>
      <c r="H11" s="7" t="inlineStr">
        <is>
          <t>materials</t>
        </is>
      </c>
      <c r="I11" s="7" t="n">
        <v>4</v>
      </c>
      <c r="J11" s="7" t="inlineStr">
        <is>
          <t>monthly_ali…dows_fc_skip</t>
        </is>
      </c>
    </row>
    <row r="12">
      <c r="A12" s="12" t="inlineStr">
        <is>
          <t>MTFS</t>
        </is>
      </c>
      <c r="B12" s="17" t="inlineStr">
        <is>
          <t>HPE/TMUS</t>
        </is>
      </c>
      <c r="C12" s="17" t="inlineStr">
        <is>
          <t>HPE</t>
        </is>
      </c>
      <c r="D12" s="17" t="inlineStr">
        <is>
          <t>long</t>
        </is>
      </c>
      <c r="E12" s="26" t="n">
        <v>2194</v>
      </c>
      <c r="F12" s="15" t="n">
        <v>52.43</v>
      </c>
      <c r="G12" s="13" t="n">
        <v>115031.42</v>
      </c>
      <c r="H12" s="17" t="inlineStr">
        <is>
          <t>tech</t>
        </is>
      </c>
      <c r="I12" s="17" t="n">
        <v>1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HPE/TMUS</t>
        </is>
      </c>
      <c r="C13" s="7" t="inlineStr">
        <is>
          <t>TMUS</t>
        </is>
      </c>
      <c r="D13" s="7" t="inlineStr">
        <is>
          <t>short</t>
        </is>
      </c>
      <c r="E13" s="24" t="n">
        <v>-336</v>
      </c>
      <c r="F13" s="4" t="n">
        <v>179.97</v>
      </c>
      <c r="G13" s="19" t="n">
        <v>-60469.92</v>
      </c>
      <c r="H13" s="7" t="inlineStr">
        <is>
          <t>telecom</t>
        </is>
      </c>
      <c r="I13" s="7" t="n">
        <v>1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PANW/LKQ</t>
        </is>
      </c>
      <c r="C14" s="17" t="inlineStr">
        <is>
          <t>PANW</t>
        </is>
      </c>
      <c r="D14" s="17" t="inlineStr">
        <is>
          <t>long</t>
        </is>
      </c>
      <c r="E14" s="26" t="n">
        <v>804</v>
      </c>
      <c r="F14" s="13" t="n">
        <v>359.49</v>
      </c>
      <c r="G14" s="13" t="n">
        <v>289029.96</v>
      </c>
      <c r="H14" s="17" t="inlineStr">
        <is>
          <t>tech</t>
        </is>
      </c>
      <c r="I14" s="17" t="n">
        <v>1</v>
      </c>
      <c r="J14" s="17" t="inlineStr">
        <is>
          <t>monthly_ali…d_windows_fc</t>
        </is>
      </c>
    </row>
    <row r="15">
      <c r="A15" s="10" t="inlineStr">
        <is>
          <t>MTFS</t>
        </is>
      </c>
      <c r="B15" s="7" t="inlineStr">
        <is>
          <t>PANW/LKQ</t>
        </is>
      </c>
      <c r="C15" s="7" t="inlineStr">
        <is>
          <t>LKQ</t>
        </is>
      </c>
      <c r="D15" s="7" t="inlineStr">
        <is>
          <t>short</t>
        </is>
      </c>
      <c r="E15" s="24" t="n">
        <v>-2422</v>
      </c>
      <c r="F15" s="11" t="n">
        <v>24.47</v>
      </c>
      <c r="G15" s="19" t="n">
        <v>-59266.34</v>
      </c>
      <c r="H15" s="7" t="inlineStr">
        <is>
          <t>other</t>
        </is>
      </c>
      <c r="I15" s="7" t="n">
        <v>1</v>
      </c>
      <c r="J15" s="7" t="inlineStr">
        <is>
          <t>monthly_ali…d_windows_fc</t>
        </is>
      </c>
    </row>
    <row r="16">
      <c r="A16" s="12" t="inlineStr">
        <is>
          <t>MTFS</t>
        </is>
      </c>
      <c r="B16" s="17" t="inlineStr">
        <is>
          <t>NTAP/TXT</t>
        </is>
      </c>
      <c r="C16" s="17" t="inlineStr">
        <is>
          <t>NTAP</t>
        </is>
      </c>
      <c r="D16" s="17" t="inlineStr">
        <is>
          <t>long</t>
        </is>
      </c>
      <c r="E16" s="26" t="n">
        <v>625</v>
      </c>
      <c r="F16" s="13" t="n">
        <v>191.48</v>
      </c>
      <c r="G16" s="13" t="n">
        <v>119675</v>
      </c>
      <c r="H16" s="17" t="inlineStr">
        <is>
          <t>tech</t>
        </is>
      </c>
      <c r="I16" s="17" t="n">
        <v>1</v>
      </c>
      <c r="J16" s="17" t="inlineStr">
        <is>
          <t>no_skip_month</t>
        </is>
      </c>
    </row>
    <row r="17">
      <c r="A17" s="10" t="inlineStr">
        <is>
          <t>MTFS</t>
        </is>
      </c>
      <c r="B17" s="7" t="inlineStr">
        <is>
          <t>NTAP/TXT</t>
        </is>
      </c>
      <c r="C17" s="7" t="inlineStr">
        <is>
          <t>TXT</t>
        </is>
      </c>
      <c r="D17" s="7" t="inlineStr">
        <is>
          <t>short</t>
        </is>
      </c>
      <c r="E17" s="24" t="n">
        <v>-660</v>
      </c>
      <c r="F17" s="11" t="n">
        <v>87.89</v>
      </c>
      <c r="G17" s="19" t="n">
        <v>-58007.4</v>
      </c>
      <c r="H17" s="7" t="inlineStr">
        <is>
          <t>industrial</t>
        </is>
      </c>
      <c r="I17" s="7" t="n">
        <v>1</v>
      </c>
      <c r="J17" s="7" t="inlineStr">
        <is>
          <t>no_skip_month</t>
        </is>
      </c>
    </row>
    <row r="18">
      <c r="A18" s="12" t="inlineStr">
        <is>
          <t>MTFS</t>
        </is>
      </c>
      <c r="B18" s="17" t="inlineStr">
        <is>
          <t>CRL/MLM</t>
        </is>
      </c>
      <c r="C18" s="17" t="inlineStr">
        <is>
          <t>CRL</t>
        </is>
      </c>
      <c r="D18" s="17" t="inlineStr">
        <is>
          <t>long</t>
        </is>
      </c>
      <c r="E18" s="26" t="n">
        <v>448</v>
      </c>
      <c r="F18" s="13" t="n">
        <v>265.51</v>
      </c>
      <c r="G18" s="13" t="n">
        <v>118948.48</v>
      </c>
      <c r="H18" s="17" t="inlineStr">
        <is>
          <t>health</t>
        </is>
      </c>
      <c r="I18" s="17" t="n">
        <v>1</v>
      </c>
      <c r="J18" s="17" t="inlineStr">
        <is>
          <t>slow_rebalance</t>
        </is>
      </c>
    </row>
    <row r="19">
      <c r="A19" s="10" t="inlineStr">
        <is>
          <t>MTFS</t>
        </is>
      </c>
      <c r="B19" s="7" t="inlineStr">
        <is>
          <t>CRL/MLM</t>
        </is>
      </c>
      <c r="C19" s="7" t="inlineStr">
        <is>
          <t>MLM</t>
        </is>
      </c>
      <c r="D19" s="7" t="inlineStr">
        <is>
          <t>short</t>
        </is>
      </c>
      <c r="E19" s="24" t="n">
        <v>-105</v>
      </c>
      <c r="F19" s="4" t="n">
        <v>538.28</v>
      </c>
      <c r="G19" s="19" t="n">
        <v>-56519.4</v>
      </c>
      <c r="H19" s="7" t="inlineStr">
        <is>
          <t>materials</t>
        </is>
      </c>
      <c r="I19" s="7" t="n">
        <v>1</v>
      </c>
      <c r="J19" s="7" t="inlineStr">
        <is>
          <t>slow_rebalance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AMD/NVDA</t>
        </is>
      </c>
      <c r="C4" s="13" t="n">
        <v>682.9299999999999</v>
      </c>
      <c r="D4" s="13" t="n">
        <v>87511.61</v>
      </c>
      <c r="E4" s="17" t="n">
        <v>1</v>
      </c>
      <c r="F4" s="17" t="inlineStr">
        <is>
          <t>flash_hold</t>
        </is>
      </c>
      <c r="G4" s="17" t="inlineStr">
        <is>
          <t>long</t>
        </is>
      </c>
    </row>
    <row r="5">
      <c r="A5" s="10" t="inlineStr">
        <is>
          <t>MRPT</t>
        </is>
      </c>
      <c r="B5" s="7" t="inlineStr">
        <is>
          <t>ADI/AKAM</t>
        </is>
      </c>
      <c r="C5" s="4" t="n">
        <v>2425.69</v>
      </c>
      <c r="D5" s="4" t="n">
        <v>136362.47</v>
      </c>
      <c r="E5" s="7" t="n">
        <v>3</v>
      </c>
      <c r="F5" s="7" t="inlineStr">
        <is>
          <t>high_vol_specialist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DGX/NKE</t>
        </is>
      </c>
      <c r="C6" s="13" t="n">
        <v>2477.14</v>
      </c>
      <c r="D6" s="13" t="n">
        <v>302748</v>
      </c>
      <c r="E6" s="17" t="n">
        <v>4</v>
      </c>
      <c r="F6" s="17" t="inlineStr">
        <is>
          <t>entry_threshold_strong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WTW/MLM</t>
        </is>
      </c>
      <c r="C7" s="19" t="n">
        <v>-1919.89</v>
      </c>
      <c r="D7" s="4" t="n">
        <v>303495.95</v>
      </c>
      <c r="E7" s="7" t="n">
        <v>4</v>
      </c>
      <c r="F7" s="7" t="inlineStr">
        <is>
          <t>monthly_ali…dows_fc_skip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HPE/TMUS</t>
        </is>
      </c>
      <c r="C8" s="18" t="n">
        <v>-3920.62</v>
      </c>
      <c r="D8" s="13" t="n">
        <v>175501.34</v>
      </c>
      <c r="E8" s="17" t="n">
        <v>1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PANW/LKQ</t>
        </is>
      </c>
      <c r="C9" s="19" t="n">
        <v>-3420.6</v>
      </c>
      <c r="D9" s="4" t="n">
        <v>348296.3</v>
      </c>
      <c r="E9" s="7" t="n">
        <v>1</v>
      </c>
      <c r="F9" s="7" t="inlineStr">
        <is>
          <t>monthly_ali…d_windows_fc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NTAP/TXT</t>
        </is>
      </c>
      <c r="C10" s="13" t="n">
        <v>3426.2</v>
      </c>
      <c r="D10" s="13" t="n">
        <v>177682.4</v>
      </c>
      <c r="E10" s="17" t="n">
        <v>1</v>
      </c>
      <c r="F10" s="17" t="inlineStr">
        <is>
          <t>no_skip_month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CRL/MLM</t>
        </is>
      </c>
      <c r="C11" s="4" t="n">
        <v>3730.37</v>
      </c>
      <c r="D11" s="4" t="n">
        <v>175467.88</v>
      </c>
      <c r="E11" s="7" t="n">
        <v>1</v>
      </c>
      <c r="F11" s="7" t="inlineStr">
        <is>
          <t>slow_rebalance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2026-08-06</t>
        </is>
      </c>
      <c r="C4" s="7" t="inlineStr">
        <is>
          <t>2026-08-06</t>
        </is>
      </c>
    </row>
    <row r="5">
      <c r="A5" s="12" t="inlineStr">
        <is>
          <t>T_1D</t>
        </is>
      </c>
      <c r="B5" s="17" t="inlineStr">
        <is>
          <t>2026-08-05</t>
        </is>
      </c>
      <c r="C5" s="17" t="inlineStr">
        <is>
          <t>2026-08-05</t>
        </is>
      </c>
    </row>
    <row r="6">
      <c r="A6" s="10" t="inlineStr">
        <is>
          <t>T_1W</t>
        </is>
      </c>
      <c r="B6" s="7" t="inlineStr">
        <is>
          <t>2026-07-30</t>
        </is>
      </c>
      <c r="C6" s="7" t="inlineStr">
        <is>
          <t>2026-07-30</t>
        </is>
      </c>
    </row>
    <row r="7">
      <c r="A7" s="12" t="inlineStr">
        <is>
          <t>T_1M</t>
        </is>
      </c>
      <c r="B7" s="17" t="inlineStr">
        <is>
          <t>2026-07-08</t>
        </is>
      </c>
      <c r="C7" s="17" t="inlineStr">
        <is>
          <t>2026-07-08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12.88</v>
      </c>
      <c r="C6" s="7" t="n">
        <v>-0.13</v>
      </c>
      <c r="D6" s="7" t="n">
        <v>25</v>
      </c>
      <c r="E6" s="21" t="n">
        <v>-13.01</v>
      </c>
    </row>
    <row r="7">
      <c r="A7" s="12" t="inlineStr">
        <is>
          <t>MTFS</t>
        </is>
      </c>
      <c r="B7" s="17" t="n">
        <v>5.75</v>
      </c>
      <c r="C7" s="17" t="n">
        <v>11.37</v>
      </c>
      <c r="D7" s="17" t="n">
        <v>25</v>
      </c>
      <c r="E7" s="22" t="n">
        <v>5.62</v>
      </c>
    </row>
    <row r="8">
      <c r="A8" s="10" t="inlineStr">
        <is>
          <t>SSRS</t>
        </is>
      </c>
      <c r="B8" s="7" t="n">
        <v>21.34</v>
      </c>
      <c r="C8" s="7" t="n">
        <v>2.34</v>
      </c>
      <c r="D8" s="7" t="n">
        <v>25</v>
      </c>
      <c r="E8" s="21" t="n">
        <v>-19</v>
      </c>
    </row>
    <row r="9">
      <c r="A9" s="12" t="inlineStr">
        <is>
          <t>AISS</t>
        </is>
      </c>
      <c r="B9" s="17" t="n">
        <v>60.04</v>
      </c>
      <c r="C9" s="17" t="n">
        <v>86.42</v>
      </c>
      <c r="D9" s="17" t="n">
        <v>25</v>
      </c>
      <c r="E9" s="22" t="n">
        <v>26.39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PANW/LKQ</t>
        </is>
      </c>
      <c r="B13" s="7" t="n">
        <v>38.72</v>
      </c>
    </row>
    <row r="14">
      <c r="A14" s="12" t="inlineStr">
        <is>
          <t>HPE/TMUS</t>
        </is>
      </c>
      <c r="B14" s="17" t="n">
        <v>20.05</v>
      </c>
    </row>
    <row r="15">
      <c r="A15" s="10" t="inlineStr">
        <is>
          <t>NTAP/TXT</t>
        </is>
      </c>
      <c r="B15" s="7" t="n">
        <v>12.2</v>
      </c>
    </row>
    <row r="16">
      <c r="A16" s="12" t="inlineStr">
        <is>
          <t>WTW/MLM</t>
        </is>
      </c>
      <c r="B16" s="17" t="n">
        <v>8.06</v>
      </c>
    </row>
    <row r="17">
      <c r="A17" s="10" t="inlineStr">
        <is>
          <t>DGX/NKE</t>
        </is>
      </c>
      <c r="B17" s="7" t="n">
        <v>7.35</v>
      </c>
    </row>
    <row r="18">
      <c r="A18" s="12" t="inlineStr">
        <is>
          <t>CRL/MLM</t>
        </is>
      </c>
      <c r="B18" s="17" t="n">
        <v>6.28</v>
      </c>
    </row>
    <row r="19">
      <c r="A19" s="10" t="inlineStr">
        <is>
          <t>ADI/AKAM</t>
        </is>
      </c>
      <c r="B19" s="7" t="n">
        <v>3.72</v>
      </c>
    </row>
    <row r="20">
      <c r="A20" s="12" t="inlineStr">
        <is>
          <t>AMD/NVDA</t>
        </is>
      </c>
      <c r="B20" s="17" t="n">
        <v>3.63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2" t="n">
        <v>33.01</v>
      </c>
      <c r="C6" s="17" t="n">
        <v>1.91</v>
      </c>
      <c r="D6" s="17" t="n">
        <v>0.055</v>
      </c>
      <c r="E6" s="17" t="n">
        <v>157</v>
      </c>
      <c r="F6" s="17" t="inlineStr">
        <is>
          <t>0.077 (t=0.75)</t>
        </is>
      </c>
      <c r="G6" s="17" t="inlineStr">
        <is>
          <t>-0.032 (t=-0.24)</t>
        </is>
      </c>
      <c r="H6" s="17" t="inlineStr">
        <is>
          <t>-0.041 (t=-0.29)</t>
        </is>
      </c>
      <c r="I6" s="17" t="inlineStr">
        <is>
          <t>0.084 (t=0.73)</t>
        </is>
      </c>
      <c r="J6" s="17" t="inlineStr">
        <is>
          <t>-0.083 (t=-0.41)</t>
        </is>
      </c>
      <c r="K6" s="17" t="inlineStr">
        <is>
          <t>-0.147 (t=-2.13)</t>
        </is>
      </c>
    </row>
    <row r="7">
      <c r="A7" s="10" t="inlineStr">
        <is>
          <t>MTFS</t>
        </is>
      </c>
      <c r="B7" s="21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-0.405</v>
      </c>
      <c r="C4" s="7" t="n">
        <v>12.822</v>
      </c>
      <c r="D4" s="7" t="n">
        <v>0</v>
      </c>
      <c r="E4" s="7" t="b">
        <v>1</v>
      </c>
      <c r="F4" s="7" t="n">
        <v>2.613</v>
      </c>
      <c r="G4" s="7" t="n">
        <v>2.613</v>
      </c>
      <c r="H4" s="7" t="n">
        <v>0</v>
      </c>
    </row>
    <row r="5">
      <c r="A5" s="12" t="inlineStr">
        <is>
          <t>MRPT</t>
        </is>
      </c>
      <c r="B5" s="17" t="n">
        <v>-0.22</v>
      </c>
      <c r="C5" s="17" t="n">
        <v>3.514</v>
      </c>
      <c r="D5" s="17" t="n">
        <v>0</v>
      </c>
      <c r="E5" s="17" t="b">
        <v>1</v>
      </c>
      <c r="F5" s="17" t="n">
        <v>1.203</v>
      </c>
      <c r="G5" s="17" t="n">
        <v>1.203</v>
      </c>
      <c r="H5" s="17" t="n">
        <v>0</v>
      </c>
    </row>
    <row r="6">
      <c r="A6" s="10" t="inlineStr">
        <is>
          <t>MTFS</t>
        </is>
      </c>
      <c r="B6" s="7" t="n">
        <v>0.158</v>
      </c>
      <c r="C6" s="7" t="n">
        <v>13.355</v>
      </c>
      <c r="D6" s="7" t="n">
        <v>0</v>
      </c>
      <c r="E6" s="7" t="b">
        <v>1</v>
      </c>
      <c r="F6" s="7" t="n">
        <v>5.851</v>
      </c>
      <c r="G6" s="7" t="n">
        <v>5.851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-0.079</v>
      </c>
      <c r="C9" s="7" t="n">
        <v>0.4725</v>
      </c>
      <c r="D9" s="7" t="n">
        <v>108552</v>
      </c>
      <c r="E9" s="7" t="n">
        <v>21.43</v>
      </c>
      <c r="F9" s="7" t="n">
        <v>26.43</v>
      </c>
      <c r="G9" s="7" t="n">
        <v>78.8</v>
      </c>
      <c r="H9" s="7" t="n">
        <v>-1.11</v>
      </c>
      <c r="I9" s="7" t="n">
        <v>-0.55</v>
      </c>
      <c r="J9" s="7" t="n">
        <v>1.927</v>
      </c>
    </row>
    <row r="10">
      <c r="A10" s="12" t="inlineStr">
        <is>
          <t>MRPT</t>
        </is>
      </c>
      <c r="B10" s="17" t="n">
        <v>1.989</v>
      </c>
      <c r="C10" s="17" t="n">
        <v>0.9545</v>
      </c>
      <c r="D10" s="17" t="n">
        <v>182</v>
      </c>
      <c r="E10" s="17" t="n">
        <v>4.89</v>
      </c>
      <c r="F10" s="17" t="n">
        <v>5.48</v>
      </c>
      <c r="G10" s="17" t="n">
        <v>79.8</v>
      </c>
      <c r="H10" s="17" t="n">
        <v>12.66</v>
      </c>
      <c r="I10" s="17" t="n">
        <v>6.33</v>
      </c>
      <c r="J10" s="17" t="n">
        <v>0.366</v>
      </c>
    </row>
    <row r="11">
      <c r="A11" s="10" t="inlineStr">
        <is>
          <t>MTFS</t>
        </is>
      </c>
      <c r="B11" s="7" t="n">
        <v>-0.702</v>
      </c>
      <c r="C11" s="7" t="n">
        <v>0.2721</v>
      </c>
      <c r="D11" s="7" t="n">
        <v>1406</v>
      </c>
      <c r="E11" s="7" t="n">
        <v>42.69</v>
      </c>
      <c r="F11" s="7" t="n">
        <v>53.53</v>
      </c>
      <c r="G11" s="7" t="n">
        <v>84.5</v>
      </c>
      <c r="H11" s="7" t="n">
        <v>-1.44</v>
      </c>
      <c r="I11" s="7" t="n">
        <v>-0.72</v>
      </c>
      <c r="J11" s="7" t="n">
        <v>5.421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2026-08-07T12:54:11Z</dcterms:created>
  <dcterms:modified xmlns:dcterms="http://purl.org/dc/terms/" xmlns:xsi="http://www.w3.org/2001/XMLSchema-instance" xsi:type="dcterms:W3CDTF">2026-08-07T12:54:11Z</dcterms:modified>
</cp:coreProperties>
</file>