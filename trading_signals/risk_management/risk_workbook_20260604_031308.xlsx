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2026-06-04T18:49:00  ·  Scope: MRPT+MTFS pairs book (model-based, broker-reconciled)</t>
        </is>
      </c>
    </row>
    <row r="4">
      <c r="A4" s="3" t="inlineStr">
        <is>
          <t>NAV (equity)</t>
        </is>
      </c>
      <c r="B4" s="4" t="n">
        <v>1113203.46</v>
      </c>
    </row>
    <row r="5">
      <c r="A5" s="3" t="inlineStr">
        <is>
          <t>Gross leverage (x)</t>
        </is>
      </c>
      <c r="B5" s="5" t="n">
        <v>2.724</v>
      </c>
    </row>
    <row r="6">
      <c r="A6" s="3" t="inlineStr">
        <is>
          <t>Net leverage (x)</t>
        </is>
      </c>
      <c r="B6" s="6" t="n">
        <v>0.955</v>
      </c>
    </row>
    <row r="7">
      <c r="A7" s="3" t="inlineStr">
        <is>
          <t>Net market beta (target≈0)</t>
        </is>
      </c>
      <c r="B7" s="5" t="n">
        <v>1.825</v>
      </c>
    </row>
    <row r="8">
      <c r="A8" s="3" t="inlineStr">
        <is>
          <t>VaR 95% 1-day ($)</t>
        </is>
      </c>
      <c r="B8" s="4" t="n">
        <v>38394.23</v>
      </c>
    </row>
    <row r="9">
      <c r="A9" s="3" t="inlineStr">
        <is>
          <t>VaR 95% 1-day (% NAV)</t>
        </is>
      </c>
      <c r="B9" s="5" t="n">
        <v>3.45</v>
      </c>
    </row>
    <row r="10">
      <c r="A10" s="3" t="inlineStr">
        <is>
          <t>Annual vol (% NAV)</t>
        </is>
      </c>
      <c r="B10" s="5" t="n">
        <v>33.28</v>
      </c>
    </row>
    <row r="11">
      <c r="A11" s="3" t="inlineStr">
        <is>
          <t>Sharpe (annual)</t>
        </is>
      </c>
      <c r="B11" s="5" t="n">
        <v>1.846</v>
      </c>
    </row>
    <row r="12">
      <c r="A12" s="3" t="inlineStr">
        <is>
          <t>PSR( SR&gt;0 )</t>
        </is>
      </c>
      <c r="B12" s="6" t="n">
        <v>0.9581</v>
      </c>
    </row>
    <row r="13">
      <c r="A13" s="3" t="inlineStr">
        <is>
          <t>CDaR 95% (%)</t>
        </is>
      </c>
      <c r="B13" s="5" t="n">
        <v>8.640000000000001</v>
      </c>
    </row>
    <row r="14">
      <c r="A14" s="3" t="inlineStr">
        <is>
          <t>Kelly full / half (x)</t>
        </is>
      </c>
      <c r="B14" s="7" t="inlineStr">
        <is>
          <t>8.48 / 4.24</t>
        </is>
      </c>
    </row>
    <row r="15">
      <c r="A15" s="3" t="inlineStr">
        <is>
          <t>Actual gross leverage (x)</t>
        </is>
      </c>
      <c r="B15" s="5" t="n">
        <v>2.724</v>
      </c>
    </row>
    <row r="16">
      <c r="A16" s="3" t="inlineStr">
        <is>
          <t>Max single-name</t>
        </is>
      </c>
      <c r="B16" s="7" t="inlineStr">
        <is>
          <t>BWA (32.44% NAV)</t>
        </is>
      </c>
    </row>
    <row r="17">
      <c r="A17" s="3" t="inlineStr">
        <is>
          <t>Max sector net (% gross)</t>
        </is>
      </c>
      <c r="B17" s="5" t="n">
        <v>30.56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286010.23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2047699.95</v>
      </c>
      <c r="C7" s="4" t="n">
        <v>2325374.18</v>
      </c>
      <c r="D7" s="4" t="n">
        <v>1624155.02</v>
      </c>
      <c r="E7" s="4" t="n">
        <v>752511.91</v>
      </c>
    </row>
    <row r="8">
      <c r="A8" s="14" t="inlineStr">
        <is>
          <t>Total Assets 总资产</t>
        </is>
      </c>
      <c r="B8" s="13" t="n">
        <v>3051876.12</v>
      </c>
      <c r="C8" s="13" t="n">
        <v>3675627.49</v>
      </c>
      <c r="D8" s="13" t="n">
        <v>2631813.62</v>
      </c>
      <c r="E8" s="13" t="n">
        <v>1938217.77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Short Collateral Due 担保差额 2%</t>
        </is>
      </c>
      <c r="B10" s="13" t="n">
        <v>19689.73</v>
      </c>
      <c r="C10" s="13" t="n">
        <v>26475.55</v>
      </c>
      <c r="D10" s="13" t="n">
        <v>19758.01</v>
      </c>
      <c r="E10" s="13" t="n">
        <v>17641.09</v>
      </c>
    </row>
    <row r="11">
      <c r="A11" s="10" t="inlineStr">
        <is>
          <t>Margin Loan 保证金借款</t>
        </is>
      </c>
      <c r="B11" s="4" t="n">
        <v>934496.49</v>
      </c>
      <c r="C11" s="4" t="n">
        <v>1221510.98</v>
      </c>
      <c r="D11" s="4" t="n">
        <v>628353.02</v>
      </c>
      <c r="E11" s="11" t="n">
        <v>0</v>
      </c>
    </row>
    <row r="12">
      <c r="A12" s="14" t="inlineStr">
        <is>
          <t>Total Liabilities 总负债</t>
        </is>
      </c>
      <c r="B12" s="13" t="n">
        <v>1938672.66</v>
      </c>
      <c r="C12" s="13" t="n">
        <v>2571764.29</v>
      </c>
      <c r="D12" s="13" t="n">
        <v>1636011.62</v>
      </c>
      <c r="E12" s="13" t="n">
        <v>899695.63</v>
      </c>
    </row>
    <row r="13">
      <c r="A13" s="15" t="inlineStr">
        <is>
          <t>NAV (Equity) 净值 = TA - TL</t>
        </is>
      </c>
      <c r="B13" s="4" t="n">
        <v>1113203.46</v>
      </c>
      <c r="C13" s="4" t="n">
        <v>1103863.2</v>
      </c>
      <c r="D13" s="4" t="n">
        <v>995802</v>
      </c>
      <c r="E13" s="4" t="n">
        <v>1038522.14</v>
      </c>
    </row>
    <row r="14">
      <c r="A14" s="12" t="inlineStr">
        <is>
          <t>Gross Leverage 总杠杆 (x)</t>
        </is>
      </c>
      <c r="B14" s="16" t="n">
        <v>2.724</v>
      </c>
      <c r="C14" s="16" t="n">
        <v>3.306</v>
      </c>
      <c r="D14" s="16" t="n">
        <v>2.623</v>
      </c>
      <c r="E14" s="16" t="n">
        <v>1.574</v>
      </c>
    </row>
    <row r="15">
      <c r="A15" s="10" t="inlineStr">
        <is>
          <t>Net Leverage 净杠杆 (x)</t>
        </is>
      </c>
      <c r="B15" s="7" t="n">
        <v>0.955</v>
      </c>
      <c r="C15" s="7" t="n">
        <v>0.907</v>
      </c>
      <c r="D15" s="7" t="n">
        <v>0.639</v>
      </c>
      <c r="E15" s="7" t="n">
        <v>-0.125</v>
      </c>
    </row>
    <row r="16">
      <c r="A16" s="12" t="inlineStr">
        <is>
          <t>PM Requirement (20%)</t>
        </is>
      </c>
      <c r="B16" s="13" t="n">
        <v>606437.28</v>
      </c>
      <c r="C16" s="13" t="n">
        <v>729830.39</v>
      </c>
      <c r="D16" s="13" t="n">
        <v>522411.12</v>
      </c>
      <c r="E16" s="13" t="n">
        <v>326913.29</v>
      </c>
    </row>
    <row r="17">
      <c r="A17" s="10" t="inlineStr">
        <is>
          <t>Excess Liquidity 超额流动性</t>
        </is>
      </c>
      <c r="B17" s="4" t="n">
        <v>506766.18</v>
      </c>
      <c r="C17" s="4" t="n">
        <v>374032.81</v>
      </c>
      <c r="D17" s="4" t="n">
        <v>473390.88</v>
      </c>
      <c r="E17" s="4" t="n">
        <v>711608.85</v>
      </c>
    </row>
    <row r="18">
      <c r="A18" s="12" t="inlineStr">
        <is>
          <t>Balance Check (≈0)</t>
        </is>
      </c>
      <c r="B18" s="16" t="n">
        <v>0</v>
      </c>
      <c r="C18" s="16" t="n">
        <v>-0</v>
      </c>
      <c r="D18" s="16" t="n">
        <v>0</v>
      </c>
      <c r="E18" s="16" t="n">
        <v>0</v>
      </c>
    </row>
    <row r="20">
      <c r="A20" s="8" t="inlineStr">
        <is>
          <t>COMBINED — 双账户法</t>
        </is>
      </c>
    </row>
    <row r="21">
      <c r="A21" s="9" t="inlineStr">
        <is>
          <t>Line item</t>
        </is>
      </c>
      <c r="B21" s="9" t="inlineStr">
        <is>
          <t>T (今日)</t>
        </is>
      </c>
      <c r="C21" s="9" t="inlineStr">
        <is>
          <t>T-1D (前日)</t>
        </is>
      </c>
      <c r="D21" s="9" t="inlineStr">
        <is>
          <t>T-1W (上周)</t>
        </is>
      </c>
      <c r="E21" s="9" t="inlineStr">
        <is>
          <t>T-1M (上月)</t>
        </is>
      </c>
    </row>
    <row r="22">
      <c r="A22" s="10" t="inlineStr">
        <is>
          <t>Long Book — Allocated Capital 分配资本</t>
        </is>
      </c>
      <c r="B22" s="4" t="n">
        <v>751769.97</v>
      </c>
      <c r="C22" s="4" t="n">
        <v>703422.34</v>
      </c>
      <c r="D22" s="4" t="n">
        <v>619181.62</v>
      </c>
      <c r="E22" s="4" t="n">
        <v>478108.6</v>
      </c>
    </row>
    <row r="23">
      <c r="A23" s="12" t="inlineStr">
        <is>
          <t>Long Book — Cash 现金</t>
        </is>
      </c>
      <c r="B23" s="17" t="n">
        <v>0</v>
      </c>
      <c r="C23" s="17" t="n">
        <v>0</v>
      </c>
      <c r="D23" s="17" t="n">
        <v>0</v>
      </c>
      <c r="E23" s="17" t="n">
        <v>0</v>
      </c>
    </row>
    <row r="24">
      <c r="A24" s="10" t="inlineStr">
        <is>
          <t>Long Book — Market Value 市值</t>
        </is>
      </c>
      <c r="B24" s="4" t="n">
        <v>2047699.95</v>
      </c>
      <c r="C24" s="4" t="n">
        <v>2325374.18</v>
      </c>
      <c r="D24" s="4" t="n">
        <v>1624155.02</v>
      </c>
      <c r="E24" s="4" t="n">
        <v>752511.91</v>
      </c>
    </row>
    <row r="25">
      <c r="A25" s="12" t="inlineStr">
        <is>
          <t>Long Book — Margin Loan 融资</t>
        </is>
      </c>
      <c r="B25" s="13" t="n">
        <v>1295929.98</v>
      </c>
      <c r="C25" s="13" t="n">
        <v>1621951.84</v>
      </c>
      <c r="D25" s="13" t="n">
        <v>1004973.4</v>
      </c>
      <c r="E25" s="13" t="n">
        <v>274403.31</v>
      </c>
    </row>
    <row r="26">
      <c r="A26" s="15" t="inlineStr">
        <is>
          <t>Long Book — NAV</t>
        </is>
      </c>
      <c r="B26" s="4" t="n">
        <v>751769.97</v>
      </c>
      <c r="C26" s="4" t="n">
        <v>703422.34</v>
      </c>
      <c r="D26" s="4" t="n">
        <v>619181.62</v>
      </c>
      <c r="E26" s="4" t="n">
        <v>478108.6</v>
      </c>
    </row>
    <row r="27">
      <c r="A27" s="12" t="inlineStr">
        <is>
          <t>Short Book — Allocated Capital 分配资本</t>
        </is>
      </c>
      <c r="B27" s="13" t="n">
        <v>361433.49</v>
      </c>
      <c r="C27" s="13" t="n">
        <v>400440.86</v>
      </c>
      <c r="D27" s="13" t="n">
        <v>376620.38</v>
      </c>
      <c r="E27" s="13" t="n">
        <v>560413.54</v>
      </c>
    </row>
    <row r="28">
      <c r="A28" s="10" t="inlineStr">
        <is>
          <t>Short Book — Collateral 担保金</t>
        </is>
      </c>
      <c r="B28" s="4" t="n">
        <v>361433.49</v>
      </c>
      <c r="C28" s="4" t="n">
        <v>400440.86</v>
      </c>
      <c r="D28" s="4" t="n">
        <v>376620.38</v>
      </c>
      <c r="E28" s="4" t="n">
        <v>560413.54</v>
      </c>
    </row>
    <row r="29">
      <c r="A29" s="12" t="inlineStr">
        <is>
          <t>Short Book — Short Proceeds 做空收入</t>
        </is>
      </c>
      <c r="B29" s="13" t="n">
        <v>984486.4399999999</v>
      </c>
      <c r="C29" s="13" t="n">
        <v>1323777.75</v>
      </c>
      <c r="D29" s="13" t="n">
        <v>987900.59</v>
      </c>
      <c r="E29" s="13" t="n">
        <v>882054.54</v>
      </c>
    </row>
    <row r="30">
      <c r="A30" s="10" t="inlineStr">
        <is>
          <t>Short Book — Market Value 市值(负债)</t>
        </is>
      </c>
      <c r="B30" s="4" t="n">
        <v>984486.4399999999</v>
      </c>
      <c r="C30" s="4" t="n">
        <v>1323777.75</v>
      </c>
      <c r="D30" s="4" t="n">
        <v>987900.59</v>
      </c>
      <c r="E30" s="4" t="n">
        <v>882054.54</v>
      </c>
    </row>
    <row r="31">
      <c r="A31" s="14" t="inlineStr">
        <is>
          <t>Short Book — NAV</t>
        </is>
      </c>
      <c r="B31" s="13" t="n">
        <v>361433.49</v>
      </c>
      <c r="C31" s="13" t="n">
        <v>400440.86</v>
      </c>
      <c r="D31" s="13" t="n">
        <v>376620.38</v>
      </c>
      <c r="E31" s="13" t="n">
        <v>560413.54</v>
      </c>
    </row>
    <row r="32">
      <c r="A32" s="10" t="inlineStr">
        <is>
          <t>Unallocated Cash 未分配现金</t>
        </is>
      </c>
      <c r="B32" s="11" t="n">
        <v>0</v>
      </c>
      <c r="C32" s="11" t="n">
        <v>-0</v>
      </c>
      <c r="D32" s="11" t="n">
        <v>0</v>
      </c>
      <c r="E32" s="11" t="n">
        <v>0</v>
      </c>
    </row>
    <row r="33">
      <c r="A33" s="14" t="inlineStr">
        <is>
          <t>Dual-View NAV 双账户法NAV</t>
        </is>
      </c>
      <c r="B33" s="13" t="n">
        <v>1113203.46</v>
      </c>
      <c r="C33" s="13" t="n">
        <v>1103863.2</v>
      </c>
      <c r="D33" s="13" t="n">
        <v>995802</v>
      </c>
      <c r="E33" s="13" t="n">
        <v>1038522.14</v>
      </c>
    </row>
    <row r="34">
      <c r="A34" s="10" t="inlineStr">
        <is>
          <t>NAV Alignment Check (≈0)</t>
        </is>
      </c>
      <c r="B34" s="7" t="n">
        <v>0</v>
      </c>
      <c r="C34" s="7" t="n">
        <v>0</v>
      </c>
      <c r="D34" s="7" t="n">
        <v>0</v>
      </c>
      <c r="E34" s="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446726.68</v>
      </c>
      <c r="C39" s="4" t="n">
        <v>444971.59</v>
      </c>
      <c r="D39" s="4" t="n">
        <v>310827.23</v>
      </c>
      <c r="E39" s="4" t="n">
        <v>477706.13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628271.58</v>
      </c>
      <c r="C42" s="13" t="n">
        <v>628779.76</v>
      </c>
      <c r="D42" s="13" t="n">
        <v>760454.25</v>
      </c>
      <c r="E42" s="13" t="n">
        <v>686679.1899999999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Short Collateral Due 担保差额 2%</t>
        </is>
      </c>
      <c r="B44" s="13" t="n">
        <v>1679.62</v>
      </c>
      <c r="C44" s="13" t="n">
        <v>1701.09</v>
      </c>
      <c r="D44" s="13" t="n">
        <v>4480.66</v>
      </c>
      <c r="E44" s="13" t="n">
        <v>2092.76</v>
      </c>
    </row>
    <row r="45">
      <c r="A45" s="10" t="inlineStr">
        <is>
          <t>Margin Loan 保证金借款</t>
        </is>
      </c>
      <c r="B45" s="11" t="n">
        <v>0</v>
      </c>
      <c r="C45" s="11" t="n">
        <v>0</v>
      </c>
      <c r="D45" s="11" t="n">
        <v>0</v>
      </c>
      <c r="E45" s="11" t="n">
        <v>0</v>
      </c>
    </row>
    <row r="46">
      <c r="A46" s="14" t="inlineStr">
        <is>
          <t>Total Liabilities 总负债</t>
        </is>
      </c>
      <c r="B46" s="13" t="n">
        <v>85660.66</v>
      </c>
      <c r="C46" s="13" t="n">
        <v>86755.42999999999</v>
      </c>
      <c r="D46" s="13" t="n">
        <v>228513.46</v>
      </c>
      <c r="E46" s="13" t="n">
        <v>106730.81</v>
      </c>
    </row>
    <row r="47">
      <c r="A47" s="15" t="inlineStr">
        <is>
          <t>NAV (Equity) 净值 = TA - TL</t>
        </is>
      </c>
      <c r="B47" s="4" t="n">
        <v>542610.92</v>
      </c>
      <c r="C47" s="4" t="n">
        <v>542024.33</v>
      </c>
      <c r="D47" s="4" t="n">
        <v>531940.79</v>
      </c>
      <c r="E47" s="4" t="n">
        <v>579948.38</v>
      </c>
    </row>
    <row r="48">
      <c r="A48" s="12" t="inlineStr">
        <is>
          <t>Gross Leverage 总杠杆 (x)</t>
        </is>
      </c>
      <c r="B48" s="16" t="n">
        <v>0.331</v>
      </c>
      <c r="C48" s="16" t="n">
        <v>0.336</v>
      </c>
      <c r="D48" s="16" t="n">
        <v>0.837</v>
      </c>
      <c r="E48" s="16" t="n">
        <v>0.357</v>
      </c>
    </row>
    <row r="49">
      <c r="A49" s="10" t="inlineStr">
        <is>
          <t>Net Leverage 净杠杆 (x)</t>
        </is>
      </c>
      <c r="B49" s="7" t="n">
        <v>0.022</v>
      </c>
      <c r="C49" s="7" t="n">
        <v>0.022</v>
      </c>
      <c r="D49" s="7" t="n">
        <v>-0.005</v>
      </c>
      <c r="E49" s="7" t="n">
        <v>-0.004</v>
      </c>
    </row>
    <row r="50">
      <c r="A50" s="12" t="inlineStr">
        <is>
          <t>PM Requirement (20%)</t>
        </is>
      </c>
      <c r="B50" s="13" t="n">
        <v>35973.06</v>
      </c>
      <c r="C50" s="13" t="n">
        <v>36421.42</v>
      </c>
      <c r="D50" s="13" t="n">
        <v>89029.27</v>
      </c>
      <c r="E50" s="13" t="n">
        <v>41376.06</v>
      </c>
    </row>
    <row r="51">
      <c r="A51" s="10" t="inlineStr">
        <is>
          <t>Excess Liquidity 超额流动性</t>
        </is>
      </c>
      <c r="B51" s="4" t="n">
        <v>506637.86</v>
      </c>
      <c r="C51" s="4" t="n">
        <v>505602.91</v>
      </c>
      <c r="D51" s="4" t="n">
        <v>442911.52</v>
      </c>
      <c r="E51" s="4" t="n">
        <v>538572.3199999999</v>
      </c>
    </row>
    <row r="52">
      <c r="A52" s="12" t="inlineStr">
        <is>
          <t>Balance Check (≈0)</t>
        </is>
      </c>
      <c r="B52" s="16" t="n">
        <v>0</v>
      </c>
      <c r="C52" s="16" t="n">
        <v>0</v>
      </c>
      <c r="D52" s="16" t="n">
        <v>-0</v>
      </c>
      <c r="E52" s="16" t="n">
        <v>0</v>
      </c>
    </row>
    <row r="54">
      <c r="A54" s="8" t="inlineStr">
        <is>
          <t>MRPT — 双账户法</t>
        </is>
      </c>
    </row>
    <row r="55">
      <c r="A55" s="9" t="inlineStr">
        <is>
          <t>Line item</t>
        </is>
      </c>
      <c r="B55" s="9" t="inlineStr">
        <is>
          <t>T (今日)</t>
        </is>
      </c>
      <c r="C55" s="9" t="inlineStr">
        <is>
          <t>T-1D (前日)</t>
        </is>
      </c>
      <c r="D55" s="9" t="inlineStr">
        <is>
          <t>T-1W (上周)</t>
        </is>
      </c>
      <c r="E55" s="9" t="inlineStr">
        <is>
          <t>T-1M (上月)</t>
        </is>
      </c>
    </row>
    <row r="56">
      <c r="A56" s="10" t="inlineStr">
        <is>
          <t>Long Book — Allocated Capital 分配资本</t>
        </is>
      </c>
      <c r="B56" s="4" t="n">
        <v>289260.03</v>
      </c>
      <c r="C56" s="4" t="n">
        <v>288868.21</v>
      </c>
      <c r="D56" s="4" t="n">
        <v>264226.18</v>
      </c>
      <c r="E56" s="4" t="n">
        <v>286616.11</v>
      </c>
    </row>
    <row r="57">
      <c r="A57" s="12" t="inlineStr">
        <is>
          <t>Long Book — Cash 现金</t>
        </is>
      </c>
      <c r="B57" s="13" t="n">
        <v>193375.79</v>
      </c>
      <c r="C57" s="13" t="n">
        <v>191815.47</v>
      </c>
      <c r="D57" s="13" t="n">
        <v>43112.62</v>
      </c>
      <c r="E57" s="13" t="n">
        <v>184373.86</v>
      </c>
    </row>
    <row r="58">
      <c r="A58" s="10" t="inlineStr">
        <is>
          <t>Long Book — Market Value 市值</t>
        </is>
      </c>
      <c r="B58" s="4" t="n">
        <v>95884.24000000001</v>
      </c>
      <c r="C58" s="4" t="n">
        <v>97052.74000000001</v>
      </c>
      <c r="D58" s="4" t="n">
        <v>221113.56</v>
      </c>
      <c r="E58" s="4" t="n">
        <v>102242.25</v>
      </c>
    </row>
    <row r="59">
      <c r="A59" s="12" t="inlineStr">
        <is>
          <t>Long Book — Margin Loan 融资</t>
        </is>
      </c>
      <c r="B59" s="17" t="n">
        <v>0</v>
      </c>
      <c r="C59" s="17" t="n">
        <v>0</v>
      </c>
      <c r="D59" s="17" t="n">
        <v>0</v>
      </c>
      <c r="E59" s="17" t="n">
        <v>0</v>
      </c>
    </row>
    <row r="60">
      <c r="A60" s="15" t="inlineStr">
        <is>
          <t>Long Book — NAV</t>
        </is>
      </c>
      <c r="B60" s="4" t="n">
        <v>289260.03</v>
      </c>
      <c r="C60" s="4" t="n">
        <v>288868.21</v>
      </c>
      <c r="D60" s="4" t="n">
        <v>264226.18</v>
      </c>
      <c r="E60" s="4" t="n">
        <v>286616.11</v>
      </c>
    </row>
    <row r="61">
      <c r="A61" s="12" t="inlineStr">
        <is>
          <t>Short Book — Allocated Capital 分配资本</t>
        </is>
      </c>
      <c r="B61" s="13" t="n">
        <v>253350.89</v>
      </c>
      <c r="C61" s="13" t="n">
        <v>253156.12</v>
      </c>
      <c r="D61" s="13" t="n">
        <v>267714.61</v>
      </c>
      <c r="E61" s="13" t="n">
        <v>293332.27</v>
      </c>
    </row>
    <row r="62">
      <c r="A62" s="10" t="inlineStr">
        <is>
          <t>Short Book — Collateral 担保金</t>
        </is>
      </c>
      <c r="B62" s="4" t="n">
        <v>253350.89</v>
      </c>
      <c r="C62" s="4" t="n">
        <v>253156.12</v>
      </c>
      <c r="D62" s="4" t="n">
        <v>267714.61</v>
      </c>
      <c r="E62" s="4" t="n">
        <v>293332.27</v>
      </c>
    </row>
    <row r="63">
      <c r="A63" s="12" t="inlineStr">
        <is>
          <t>Short Book — Short Proceeds 做空收入</t>
        </is>
      </c>
      <c r="B63" s="13" t="n">
        <v>83981.03999999999</v>
      </c>
      <c r="C63" s="13" t="n">
        <v>85054.34</v>
      </c>
      <c r="D63" s="13" t="n">
        <v>224032.8</v>
      </c>
      <c r="E63" s="13" t="n">
        <v>104638.05</v>
      </c>
    </row>
    <row r="64">
      <c r="A64" s="10" t="inlineStr">
        <is>
          <t>Short Book — Market Value 市值(负债)</t>
        </is>
      </c>
      <c r="B64" s="4" t="n">
        <v>83981.03999999999</v>
      </c>
      <c r="C64" s="4" t="n">
        <v>85054.34</v>
      </c>
      <c r="D64" s="4" t="n">
        <v>224032.8</v>
      </c>
      <c r="E64" s="4" t="n">
        <v>104638.05</v>
      </c>
    </row>
    <row r="65">
      <c r="A65" s="14" t="inlineStr">
        <is>
          <t>Short Book — NAV</t>
        </is>
      </c>
      <c r="B65" s="13" t="n">
        <v>253350.89</v>
      </c>
      <c r="C65" s="13" t="n">
        <v>253156.12</v>
      </c>
      <c r="D65" s="13" t="n">
        <v>267714.61</v>
      </c>
      <c r="E65" s="13" t="n">
        <v>293332.27</v>
      </c>
    </row>
    <row r="66">
      <c r="A66" s="10" t="inlineStr">
        <is>
          <t>Unallocated Cash 未分配现金</t>
        </is>
      </c>
      <c r="B66" s="11" t="n">
        <v>-0</v>
      </c>
      <c r="C66" s="11" t="n">
        <v>0</v>
      </c>
      <c r="D66" s="11" t="n">
        <v>0</v>
      </c>
      <c r="E66" s="11" t="n">
        <v>0</v>
      </c>
    </row>
    <row r="67">
      <c r="A67" s="14" t="inlineStr">
        <is>
          <t>Dual-View NAV 双账户法NAV</t>
        </is>
      </c>
      <c r="B67" s="13" t="n">
        <v>542610.92</v>
      </c>
      <c r="C67" s="13" t="n">
        <v>542024.33</v>
      </c>
      <c r="D67" s="13" t="n">
        <v>531940.79</v>
      </c>
      <c r="E67" s="13" t="n">
        <v>579948.38</v>
      </c>
    </row>
    <row r="68">
      <c r="A68" s="10" t="inlineStr">
        <is>
          <t>NAV Alignment Check (≈0)</t>
        </is>
      </c>
      <c r="B68" s="7" t="n">
        <v>0</v>
      </c>
      <c r="C68" s="7" t="n">
        <v>0</v>
      </c>
      <c r="D68" s="7" t="n">
        <v>0</v>
      </c>
      <c r="E68" s="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1951815.71</v>
      </c>
      <c r="C75" s="4" t="n">
        <v>2228321.44</v>
      </c>
      <c r="D75" s="4" t="n">
        <v>1403041.46</v>
      </c>
      <c r="E75" s="4" t="n">
        <v>650269.66</v>
      </c>
    </row>
    <row r="76">
      <c r="A76" s="14" t="inlineStr">
        <is>
          <t>Total Assets 总资产</t>
        </is>
      </c>
      <c r="B76" s="13" t="n">
        <v>2870331.22</v>
      </c>
      <c r="C76" s="13" t="n">
        <v>3491819.32</v>
      </c>
      <c r="D76" s="13" t="n">
        <v>2182186.61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Short Collateral Due 担保差额 2%</t>
        </is>
      </c>
      <c r="B78" s="13" t="n">
        <v>18010.11</v>
      </c>
      <c r="C78" s="13" t="n">
        <v>24774.47</v>
      </c>
      <c r="D78" s="13" t="n">
        <v>15277.36</v>
      </c>
      <c r="E78" s="13" t="n">
        <v>15548.33</v>
      </c>
    </row>
    <row r="79">
      <c r="A79" s="10" t="inlineStr">
        <is>
          <t>Margin Loan 保证金借款</t>
        </is>
      </c>
      <c r="B79" s="4" t="n">
        <v>1381223.18</v>
      </c>
      <c r="C79" s="4" t="n">
        <v>1666482.57</v>
      </c>
      <c r="D79" s="4" t="n">
        <v>939180.25</v>
      </c>
      <c r="E79" s="4" t="n">
        <v>191695.9</v>
      </c>
    </row>
    <row r="80">
      <c r="A80" s="14" t="inlineStr">
        <is>
          <t>Total Liabilities 总负债</t>
        </is>
      </c>
      <c r="B80" s="13" t="n">
        <v>2299738.69</v>
      </c>
      <c r="C80" s="13" t="n">
        <v>2929980.45</v>
      </c>
      <c r="D80" s="13" t="n">
        <v>1718325.4</v>
      </c>
      <c r="E80" s="13" t="n">
        <v>984660.72</v>
      </c>
    </row>
    <row r="81">
      <c r="A81" s="15" t="inlineStr">
        <is>
          <t>NAV (Equity) 净值 = TA - TL</t>
        </is>
      </c>
      <c r="B81" s="4" t="n">
        <v>570592.53</v>
      </c>
      <c r="C81" s="4" t="n">
        <v>561838.87</v>
      </c>
      <c r="D81" s="4" t="n">
        <v>463861.21</v>
      </c>
      <c r="E81" s="4" t="n">
        <v>458573.76</v>
      </c>
    </row>
    <row r="82">
      <c r="A82" s="12" t="inlineStr">
        <is>
          <t>Gross Leverage 总杠杆 (x)</t>
        </is>
      </c>
      <c r="B82" s="16" t="n">
        <v>4.999</v>
      </c>
      <c r="C82" s="16" t="n">
        <v>6.171</v>
      </c>
      <c r="D82" s="16" t="n">
        <v>4.671</v>
      </c>
      <c r="E82" s="16" t="n">
        <v>3.113</v>
      </c>
    </row>
    <row r="83">
      <c r="A83" s="10" t="inlineStr">
        <is>
          <t>Net Leverage 净杠杆 (x)</t>
        </is>
      </c>
      <c r="B83" s="7" t="n">
        <v>1.842</v>
      </c>
      <c r="C83" s="7" t="n">
        <v>1.761</v>
      </c>
      <c r="D83" s="7" t="n">
        <v>1.378</v>
      </c>
      <c r="E83" s="7" t="n">
        <v>-0.277</v>
      </c>
    </row>
    <row r="84">
      <c r="A84" s="12" t="inlineStr">
        <is>
          <t>PM Requirement (20%)</t>
        </is>
      </c>
      <c r="B84" s="13" t="n">
        <v>570464.22</v>
      </c>
      <c r="C84" s="13" t="n">
        <v>693408.97</v>
      </c>
      <c r="D84" s="13" t="n">
        <v>433381.85</v>
      </c>
      <c r="E84" s="13" t="n">
        <v>285537.23</v>
      </c>
    </row>
    <row r="85">
      <c r="A85" s="10" t="inlineStr">
        <is>
          <t>Excess Liquidity 超额流动性</t>
        </is>
      </c>
      <c r="B85" s="4" t="n">
        <v>128.31</v>
      </c>
      <c r="C85" s="18" t="n">
        <v>-131570.1</v>
      </c>
      <c r="D85" s="4" t="n">
        <v>30479.36</v>
      </c>
      <c r="E85" s="4" t="n">
        <v>173036.53</v>
      </c>
    </row>
    <row r="86">
      <c r="A86" s="12" t="inlineStr">
        <is>
          <t>Balance Check (≈0)</t>
        </is>
      </c>
      <c r="B86" s="16" t="n">
        <v>0</v>
      </c>
      <c r="C86" s="16" t="n">
        <v>0</v>
      </c>
      <c r="D86" s="16" t="n">
        <v>-0</v>
      </c>
      <c r="E86" s="16" t="n">
        <v>0</v>
      </c>
    </row>
    <row r="88">
      <c r="A88" s="8" t="inlineStr">
        <is>
          <t>MTFS — 双账户法</t>
        </is>
      </c>
    </row>
    <row r="89">
      <c r="A89" s="9" t="inlineStr">
        <is>
          <t>Line item</t>
        </is>
      </c>
      <c r="B89" s="9" t="inlineStr">
        <is>
          <t>T (今日)</t>
        </is>
      </c>
      <c r="C89" s="9" t="inlineStr">
        <is>
          <t>T-1D (前日)</t>
        </is>
      </c>
      <c r="D89" s="9" t="inlineStr">
        <is>
          <t>T-1W (上周)</t>
        </is>
      </c>
      <c r="E89" s="9" t="inlineStr">
        <is>
          <t>T-1M (上月)</t>
        </is>
      </c>
    </row>
    <row r="90">
      <c r="A90" s="10" t="inlineStr">
        <is>
          <t>Long Book — Allocated Capital 分配资本</t>
        </is>
      </c>
      <c r="B90" s="4" t="n">
        <v>390450.94</v>
      </c>
      <c r="C90" s="4" t="n">
        <v>361102.22</v>
      </c>
      <c r="D90" s="4" t="n">
        <v>300343.22</v>
      </c>
      <c r="E90" s="4" t="n">
        <v>208867.06</v>
      </c>
    </row>
    <row r="91">
      <c r="A91" s="12" t="inlineStr">
        <is>
          <t>Long Book — Cash 现金</t>
        </is>
      </c>
      <c r="B91" s="17" t="n">
        <v>0</v>
      </c>
      <c r="C91" s="17" t="n">
        <v>0</v>
      </c>
      <c r="D91" s="17" t="n">
        <v>0</v>
      </c>
      <c r="E91" s="17" t="n">
        <v>0</v>
      </c>
    </row>
    <row r="92">
      <c r="A92" s="10" t="inlineStr">
        <is>
          <t>Long Book — Market Value 市值</t>
        </is>
      </c>
      <c r="B92" s="4" t="n">
        <v>1951815.71</v>
      </c>
      <c r="C92" s="4" t="n">
        <v>2228321.44</v>
      </c>
      <c r="D92" s="4" t="n">
        <v>1403041.46</v>
      </c>
      <c r="E92" s="4" t="n">
        <v>650269.66</v>
      </c>
    </row>
    <row r="93">
      <c r="A93" s="12" t="inlineStr">
        <is>
          <t>Long Book — Margin Loan 融资</t>
        </is>
      </c>
      <c r="B93" s="13" t="n">
        <v>1561364.77</v>
      </c>
      <c r="C93" s="13" t="n">
        <v>1867219.22</v>
      </c>
      <c r="D93" s="13" t="n">
        <v>1102698.24</v>
      </c>
      <c r="E93" s="13" t="n">
        <v>441402.61</v>
      </c>
    </row>
    <row r="94">
      <c r="A94" s="15" t="inlineStr">
        <is>
          <t>Long Book — NAV</t>
        </is>
      </c>
      <c r="B94" s="4" t="n">
        <v>390450.94</v>
      </c>
      <c r="C94" s="4" t="n">
        <v>361102.22</v>
      </c>
      <c r="D94" s="4" t="n">
        <v>300343.22</v>
      </c>
      <c r="E94" s="4" t="n">
        <v>208867.06</v>
      </c>
    </row>
    <row r="95">
      <c r="A95" s="12" t="inlineStr">
        <is>
          <t>Short Book — Allocated Capital 分配资本</t>
        </is>
      </c>
      <c r="B95" s="13" t="n">
        <v>180141.59</v>
      </c>
      <c r="C95" s="13" t="n">
        <v>200736.65</v>
      </c>
      <c r="D95" s="13" t="n">
        <v>163517.99</v>
      </c>
      <c r="E95" s="13" t="n">
        <v>249706.7</v>
      </c>
    </row>
    <row r="96">
      <c r="A96" s="10" t="inlineStr">
        <is>
          <t>Short Book — Collateral 担保金</t>
        </is>
      </c>
      <c r="B96" s="4" t="n">
        <v>180141.59</v>
      </c>
      <c r="C96" s="4" t="n">
        <v>200736.65</v>
      </c>
      <c r="D96" s="4" t="n">
        <v>163517.99</v>
      </c>
      <c r="E96" s="4" t="n">
        <v>249706.7</v>
      </c>
    </row>
    <row r="97">
      <c r="A97" s="12" t="inlineStr">
        <is>
          <t>Short Book — Short Proceeds 做空收入</t>
        </is>
      </c>
      <c r="B97" s="13" t="n">
        <v>900505.4</v>
      </c>
      <c r="C97" s="13" t="n">
        <v>1238723.41</v>
      </c>
      <c r="D97" s="13" t="n">
        <v>763867.79</v>
      </c>
      <c r="E97" s="13" t="n">
        <v>777416.49</v>
      </c>
    </row>
    <row r="98">
      <c r="A98" s="10" t="inlineStr">
        <is>
          <t>Short Book — Market Value 市值(负债)</t>
        </is>
      </c>
      <c r="B98" s="4" t="n">
        <v>900505.4</v>
      </c>
      <c r="C98" s="4" t="n">
        <v>1238723.41</v>
      </c>
      <c r="D98" s="4" t="n">
        <v>763867.79</v>
      </c>
      <c r="E98" s="4" t="n">
        <v>777416.49</v>
      </c>
    </row>
    <row r="99">
      <c r="A99" s="14" t="inlineStr">
        <is>
          <t>Short Book — NAV</t>
        </is>
      </c>
      <c r="B99" s="13" t="n">
        <v>180141.59</v>
      </c>
      <c r="C99" s="13" t="n">
        <v>200736.65</v>
      </c>
      <c r="D99" s="13" t="n">
        <v>163517.99</v>
      </c>
      <c r="E99" s="13" t="n">
        <v>249706.7</v>
      </c>
    </row>
    <row r="100">
      <c r="A100" s="10" t="inlineStr">
        <is>
          <t>Unallocated Cash 未分配现金</t>
        </is>
      </c>
      <c r="B100" s="11" t="n">
        <v>0</v>
      </c>
      <c r="C100" s="11" t="n">
        <v>-0</v>
      </c>
      <c r="D100" s="11" t="n">
        <v>0</v>
      </c>
      <c r="E100" s="11" t="n">
        <v>0</v>
      </c>
    </row>
    <row r="101">
      <c r="A101" s="14" t="inlineStr">
        <is>
          <t>Dual-View NAV 双账户法NAV</t>
        </is>
      </c>
      <c r="B101" s="13" t="n">
        <v>570592.53</v>
      </c>
      <c r="C101" s="13" t="n">
        <v>561838.87</v>
      </c>
      <c r="D101" s="13" t="n">
        <v>463861.21</v>
      </c>
      <c r="E101" s="13" t="n">
        <v>458573.76</v>
      </c>
    </row>
    <row r="102">
      <c r="A102" s="10" t="inlineStr">
        <is>
          <t>NAV Alignment Check (≈0)</t>
        </is>
      </c>
      <c r="B102" s="7" t="n">
        <v>0</v>
      </c>
      <c r="C102" s="7" t="n">
        <v>0</v>
      </c>
      <c r="D102" s="7" t="n">
        <v>0</v>
      </c>
      <c r="E102" s="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4" t="n">
        <v>9340.26</v>
      </c>
      <c r="C5" s="4" t="n">
        <v>117401.46</v>
      </c>
      <c r="D5" s="4" t="n">
        <v>74681.32000000001</v>
      </c>
      <c r="E5" s="4" t="n">
        <v>191704.67</v>
      </c>
    </row>
    <row r="6">
      <c r="A6" s="12" t="inlineStr">
        <is>
          <t>Interest expense (est)</t>
        </is>
      </c>
      <c r="B6" s="13" t="n">
        <v>128.01</v>
      </c>
      <c r="C6" s="13" t="n">
        <v>640.0700000000001</v>
      </c>
      <c r="D6" s="13" t="n">
        <v>2688.28</v>
      </c>
      <c r="E6" s="13" t="n">
        <v>18817.94</v>
      </c>
    </row>
    <row r="7">
      <c r="A7" s="10" t="inlineStr">
        <is>
          <t>Current unrealized PnL</t>
        </is>
      </c>
      <c r="B7" s="4" t="n">
        <v>159892.52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4" t="n">
        <v>586.59</v>
      </c>
      <c r="C11" s="4" t="n">
        <v>10670.13</v>
      </c>
      <c r="D11" s="18" t="n">
        <v>-37337.46</v>
      </c>
      <c r="E11" s="4" t="n">
        <v>33278.98</v>
      </c>
    </row>
    <row r="12">
      <c r="A12" s="12" t="inlineStr">
        <is>
          <t>Interest expense (est)</t>
        </is>
      </c>
      <c r="B12" s="17" t="n">
        <v>0</v>
      </c>
      <c r="C12" s="17" t="n">
        <v>0</v>
      </c>
      <c r="D12" s="17" t="n">
        <v>0</v>
      </c>
      <c r="E12" s="17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4" t="n">
        <v>8753.66</v>
      </c>
      <c r="C17" s="4" t="n">
        <v>106731.32</v>
      </c>
      <c r="D17" s="4" t="n">
        <v>112018.77</v>
      </c>
      <c r="E17" s="4" t="n">
        <v>158425.68</v>
      </c>
    </row>
    <row r="18">
      <c r="A18" s="12" t="inlineStr">
        <is>
          <t>Interest expense (est)</t>
        </is>
      </c>
      <c r="B18" s="13" t="n">
        <v>189.21</v>
      </c>
      <c r="C18" s="13" t="n">
        <v>946.04</v>
      </c>
      <c r="D18" s="13" t="n">
        <v>3973.38</v>
      </c>
      <c r="E18" s="13" t="n">
        <v>27813.67</v>
      </c>
    </row>
    <row r="19">
      <c r="A19" s="10" t="inlineStr">
        <is>
          <t>Current unrealized PnL</t>
        </is>
      </c>
      <c r="B19" s="4" t="n">
        <v>146238.94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1103863.2</v>
      </c>
      <c r="C5" s="4" t="n">
        <v>995802</v>
      </c>
      <c r="D5" s="4" t="n">
        <v>1038522.14</v>
      </c>
      <c r="E5" s="4" t="n">
        <v>921498.79</v>
      </c>
    </row>
    <row r="6">
      <c r="A6" s="12" t="inlineStr">
        <is>
          <t>Net income</t>
        </is>
      </c>
      <c r="B6" s="13" t="n">
        <v>9340.26</v>
      </c>
      <c r="C6" s="13" t="n">
        <v>117401.46</v>
      </c>
      <c r="D6" s="13" t="n">
        <v>74681.32000000001</v>
      </c>
      <c r="E6" s="13" t="n">
        <v>191704.67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7" t="n">
        <v>0</v>
      </c>
      <c r="C8" s="17" t="n">
        <v>0</v>
      </c>
      <c r="D8" s="17" t="n">
        <v>0</v>
      </c>
      <c r="E8" s="17" t="n">
        <v>0</v>
      </c>
    </row>
    <row r="9">
      <c r="A9" s="15" t="inlineStr">
        <is>
          <t>Ending NAV</t>
        </is>
      </c>
      <c r="B9" s="4" t="n">
        <v>1113203.46</v>
      </c>
      <c r="C9" s="4" t="n">
        <v>1113203.46</v>
      </c>
      <c r="D9" s="4" t="n">
        <v>1113203.46</v>
      </c>
      <c r="E9" s="4" t="n">
        <v>1113203.46</v>
      </c>
    </row>
    <row r="10">
      <c r="A10" s="12" t="inlineStr">
        <is>
          <t>Return (%)</t>
        </is>
      </c>
      <c r="B10" s="19" t="n">
        <v>0.85</v>
      </c>
      <c r="C10" s="19" t="n">
        <v>11.79</v>
      </c>
      <c r="D10" s="19" t="n">
        <v>7.19</v>
      </c>
      <c r="E10" s="19" t="n">
        <v>20.8</v>
      </c>
    </row>
    <row r="11">
      <c r="A11" s="10" t="inlineStr">
        <is>
          <t>Max drawdown (%)</t>
        </is>
      </c>
      <c r="B11" s="20" t="n">
        <v>0</v>
      </c>
      <c r="C11" s="21" t="n">
        <v>-1.04</v>
      </c>
      <c r="D11" s="21" t="n">
        <v>-5.11</v>
      </c>
      <c r="E11" s="21" t="n">
        <v>-9.57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542024.33</v>
      </c>
      <c r="C15" s="4" t="n">
        <v>531940.79</v>
      </c>
      <c r="D15" s="4" t="n">
        <v>579948.38</v>
      </c>
      <c r="E15" s="4" t="n">
        <v>509331.94</v>
      </c>
    </row>
    <row r="16">
      <c r="A16" s="12" t="inlineStr">
        <is>
          <t>Net income</t>
        </is>
      </c>
      <c r="B16" s="13" t="n">
        <v>586.59</v>
      </c>
      <c r="C16" s="13" t="n">
        <v>10670.13</v>
      </c>
      <c r="D16" s="22" t="n">
        <v>-37337.46</v>
      </c>
      <c r="E16" s="13" t="n">
        <v>33278.98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7" t="n">
        <v>0</v>
      </c>
      <c r="C18" s="17" t="n">
        <v>0</v>
      </c>
      <c r="D18" s="17" t="n">
        <v>0</v>
      </c>
      <c r="E18" s="17" t="n">
        <v>0</v>
      </c>
    </row>
    <row r="19">
      <c r="A19" s="15" t="inlineStr">
        <is>
          <t>Ending NAV</t>
        </is>
      </c>
      <c r="B19" s="4" t="n">
        <v>542610.92</v>
      </c>
      <c r="C19" s="4" t="n">
        <v>542610.92</v>
      </c>
      <c r="D19" s="4" t="n">
        <v>542610.92</v>
      </c>
      <c r="E19" s="4" t="n">
        <v>542610.92</v>
      </c>
    </row>
    <row r="20">
      <c r="A20" s="12" t="inlineStr">
        <is>
          <t>Return (%)</t>
        </is>
      </c>
      <c r="B20" s="19" t="n">
        <v>0.11</v>
      </c>
      <c r="C20" s="19" t="n">
        <v>2.01</v>
      </c>
      <c r="D20" s="23" t="n">
        <v>-6.44</v>
      </c>
      <c r="E20" s="19" t="n">
        <v>6.53</v>
      </c>
    </row>
    <row r="21">
      <c r="A21" s="10" t="inlineStr">
        <is>
          <t>Max drawdown (%)</t>
        </is>
      </c>
      <c r="B21" s="20" t="n">
        <v>0</v>
      </c>
      <c r="C21" s="21" t="n">
        <v>-0.13</v>
      </c>
      <c r="D21" s="21" t="n">
        <v>-8.279999999999999</v>
      </c>
      <c r="E21" s="21" t="n">
        <v>-11.77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561838.87</v>
      </c>
      <c r="C25" s="4" t="n">
        <v>463861.21</v>
      </c>
      <c r="D25" s="4" t="n">
        <v>458573.76</v>
      </c>
      <c r="E25" s="4" t="n">
        <v>412166.85</v>
      </c>
    </row>
    <row r="26">
      <c r="A26" s="12" t="inlineStr">
        <is>
          <t>Net income</t>
        </is>
      </c>
      <c r="B26" s="13" t="n">
        <v>8753.66</v>
      </c>
      <c r="C26" s="13" t="n">
        <v>106731.32</v>
      </c>
      <c r="D26" s="13" t="n">
        <v>112018.77</v>
      </c>
      <c r="E26" s="13" t="n">
        <v>158425.68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7" t="n">
        <v>0</v>
      </c>
      <c r="C28" s="17" t="n">
        <v>0</v>
      </c>
      <c r="D28" s="17" t="n">
        <v>0</v>
      </c>
      <c r="E28" s="17" t="n">
        <v>0</v>
      </c>
    </row>
    <row r="29">
      <c r="A29" s="15" t="inlineStr">
        <is>
          <t>Ending NAV</t>
        </is>
      </c>
      <c r="B29" s="4" t="n">
        <v>570592.53</v>
      </c>
      <c r="C29" s="4" t="n">
        <v>570592.53</v>
      </c>
      <c r="D29" s="4" t="n">
        <v>570592.53</v>
      </c>
      <c r="E29" s="4" t="n">
        <v>570592.53</v>
      </c>
    </row>
    <row r="30">
      <c r="A30" s="12" t="inlineStr">
        <is>
          <t>Return (%)</t>
        </is>
      </c>
      <c r="B30" s="19" t="n">
        <v>1.56</v>
      </c>
      <c r="C30" s="19" t="n">
        <v>23.01</v>
      </c>
      <c r="D30" s="19" t="n">
        <v>24.43</v>
      </c>
      <c r="E30" s="19" t="n">
        <v>38.44</v>
      </c>
    </row>
    <row r="31">
      <c r="A31" s="10" t="inlineStr">
        <is>
          <t>Max drawdown (%)</t>
        </is>
      </c>
      <c r="B31" s="20" t="n">
        <v>0</v>
      </c>
      <c r="C31" s="21" t="n">
        <v>-3.95</v>
      </c>
      <c r="D31" s="21" t="n">
        <v>-7.46</v>
      </c>
      <c r="E31" s="21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117401.46</v>
      </c>
    </row>
    <row r="5">
      <c r="A5" s="3" t="inlineStr">
        <is>
          <t>Investing cash flow</t>
        </is>
      </c>
      <c r="B5" s="18" t="n">
        <v>-426959.08</v>
      </c>
    </row>
    <row r="6">
      <c r="A6" s="3" t="inlineStr">
        <is>
          <t>Financing cash flow</t>
        </is>
      </c>
      <c r="B6" s="4" t="n">
        <v>306143.47</v>
      </c>
    </row>
    <row r="7">
      <c r="A7" s="3" t="inlineStr">
        <is>
          <t>Net change in cash</t>
        </is>
      </c>
      <c r="B7" s="18" t="n">
        <v>-3414.15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1010661.06</v>
      </c>
    </row>
    <row r="97">
      <c r="A97" s="12" t="inlineStr">
        <is>
          <t>2026-03-20</t>
        </is>
      </c>
      <c r="B97" s="13" t="n">
        <v>1023679.41</v>
      </c>
    </row>
    <row r="98">
      <c r="A98" s="10" t="inlineStr">
        <is>
          <t>2026-03-23</t>
        </is>
      </c>
      <c r="B98" s="4" t="n">
        <v>1025724.19</v>
      </c>
    </row>
    <row r="99">
      <c r="A99" s="12" t="inlineStr">
        <is>
          <t>2026-03-24</t>
        </is>
      </c>
      <c r="B99" s="13" t="n">
        <v>1015750.02</v>
      </c>
    </row>
    <row r="100">
      <c r="A100" s="10" t="inlineStr">
        <is>
          <t>2026-03-25</t>
        </is>
      </c>
      <c r="B100" s="4" t="n">
        <v>1003777.26</v>
      </c>
    </row>
    <row r="101">
      <c r="A101" s="12" t="inlineStr">
        <is>
          <t>2026-03-26</t>
        </is>
      </c>
      <c r="B101" s="13" t="n">
        <v>1014086.2</v>
      </c>
    </row>
    <row r="102">
      <c r="A102" s="10" t="inlineStr">
        <is>
          <t>2026-03-27</t>
        </is>
      </c>
      <c r="B102" s="4" t="n">
        <v>1028383.17</v>
      </c>
    </row>
    <row r="103">
      <c r="A103" s="12" t="inlineStr">
        <is>
          <t>2026-03-30</t>
        </is>
      </c>
      <c r="B103" s="13" t="n">
        <v>1057042.21</v>
      </c>
    </row>
    <row r="104">
      <c r="A104" s="10" t="inlineStr">
        <is>
          <t>2026-03-31</t>
        </is>
      </c>
      <c r="B104" s="4" t="n">
        <v>1054438.15</v>
      </c>
    </row>
    <row r="105">
      <c r="A105" s="12" t="inlineStr">
        <is>
          <t>2026-04-01</t>
        </is>
      </c>
      <c r="B105" s="13" t="n">
        <v>1052315.58</v>
      </c>
    </row>
    <row r="106">
      <c r="A106" s="10" t="inlineStr">
        <is>
          <t>2026-04-02</t>
        </is>
      </c>
      <c r="B106" s="4" t="n">
        <v>1051354.61</v>
      </c>
    </row>
    <row r="107">
      <c r="A107" s="12" t="inlineStr">
        <is>
          <t>2026-04-03</t>
        </is>
      </c>
      <c r="B107" s="13" t="n">
        <v>1044479.78</v>
      </c>
    </row>
    <row r="108">
      <c r="A108" s="10" t="inlineStr">
        <is>
          <t>2026-04-06</t>
        </is>
      </c>
      <c r="B108" s="4" t="n">
        <v>1050335.11</v>
      </c>
    </row>
    <row r="109">
      <c r="A109" s="12" t="inlineStr">
        <is>
          <t>2026-04-07</t>
        </is>
      </c>
      <c r="B109" s="13" t="n">
        <v>1044442.91</v>
      </c>
    </row>
    <row r="110">
      <c r="A110" s="10" t="inlineStr">
        <is>
          <t>2026-04-08</t>
        </is>
      </c>
      <c r="B110" s="4" t="n">
        <v>1046176.28</v>
      </c>
    </row>
    <row r="111">
      <c r="A111" s="12" t="inlineStr">
        <is>
          <t>2026-04-09</t>
        </is>
      </c>
      <c r="B111" s="13" t="n">
        <v>1072213.58</v>
      </c>
    </row>
    <row r="112">
      <c r="A112" s="10" t="inlineStr">
        <is>
          <t>2026-04-10</t>
        </is>
      </c>
      <c r="B112" s="4" t="n">
        <v>1063030.61</v>
      </c>
    </row>
    <row r="113">
      <c r="A113" s="12" t="inlineStr">
        <is>
          <t>2026-04-13</t>
        </is>
      </c>
      <c r="B113" s="13" t="n">
        <v>1075175.58</v>
      </c>
    </row>
    <row r="114">
      <c r="A114" s="10" t="inlineStr">
        <is>
          <t>2026-04-14</t>
        </is>
      </c>
      <c r="B114" s="4" t="n">
        <v>1080207.25</v>
      </c>
    </row>
    <row r="115">
      <c r="A115" s="12" t="inlineStr">
        <is>
          <t>2026-04-15</t>
        </is>
      </c>
      <c r="B115" s="13" t="n">
        <v>1085910.78</v>
      </c>
    </row>
    <row r="116">
      <c r="A116" s="10" t="inlineStr">
        <is>
          <t>2026-04-16</t>
        </is>
      </c>
      <c r="B116" s="4" t="n">
        <v>1072326.04</v>
      </c>
    </row>
    <row r="117">
      <c r="A117" s="12" t="inlineStr">
        <is>
          <t>2026-04-17</t>
        </is>
      </c>
      <c r="B117" s="13" t="n">
        <v>1065410.49</v>
      </c>
    </row>
    <row r="118">
      <c r="A118" s="10" t="inlineStr">
        <is>
          <t>2026-04-20</t>
        </is>
      </c>
      <c r="B118" s="4" t="n">
        <v>1079552.28</v>
      </c>
    </row>
    <row r="119">
      <c r="A119" s="12" t="inlineStr">
        <is>
          <t>2026-04-21</t>
        </is>
      </c>
      <c r="B119" s="13" t="n">
        <v>1073850.36</v>
      </c>
    </row>
    <row r="120">
      <c r="A120" s="10" t="inlineStr">
        <is>
          <t>2026-04-22</t>
        </is>
      </c>
      <c r="B120" s="4" t="n">
        <v>1068923.8</v>
      </c>
    </row>
    <row r="121">
      <c r="A121" s="12" t="inlineStr">
        <is>
          <t>2026-04-23</t>
        </is>
      </c>
      <c r="B121" s="13" t="n">
        <v>1071061.15</v>
      </c>
    </row>
    <row r="122">
      <c r="A122" s="10" t="inlineStr">
        <is>
          <t>2026-04-24</t>
        </is>
      </c>
      <c r="B122" s="4" t="n">
        <v>1071649.93</v>
      </c>
    </row>
    <row r="123">
      <c r="A123" s="12" t="inlineStr">
        <is>
          <t>2026-04-27</t>
        </is>
      </c>
      <c r="B123" s="13" t="n">
        <v>1081609.49</v>
      </c>
    </row>
    <row r="124">
      <c r="A124" s="10" t="inlineStr">
        <is>
          <t>2026-04-28</t>
        </is>
      </c>
      <c r="B124" s="4" t="n">
        <v>1082665.34</v>
      </c>
    </row>
    <row r="125">
      <c r="A125" s="12" t="inlineStr">
        <is>
          <t>2026-04-29</t>
        </is>
      </c>
      <c r="B125" s="13" t="n">
        <v>1089743.49</v>
      </c>
    </row>
    <row r="126">
      <c r="A126" s="10" t="inlineStr">
        <is>
          <t>2026-04-30</t>
        </is>
      </c>
      <c r="B126" s="4" t="n">
        <v>1089711.86</v>
      </c>
    </row>
    <row r="127">
      <c r="A127" s="12" t="inlineStr">
        <is>
          <t>2026-05-01</t>
        </is>
      </c>
      <c r="B127" s="13" t="n">
        <v>1047267.39</v>
      </c>
    </row>
    <row r="128">
      <c r="A128" s="10" t="inlineStr">
        <is>
          <t>2026-05-04</t>
        </is>
      </c>
      <c r="B128" s="4" t="n">
        <v>1043747.85</v>
      </c>
    </row>
    <row r="129">
      <c r="A129" s="12" t="inlineStr">
        <is>
          <t>2026-05-05</t>
        </is>
      </c>
      <c r="B129" s="13" t="n">
        <v>1038522.14</v>
      </c>
    </row>
    <row r="130">
      <c r="A130" s="10" t="inlineStr">
        <is>
          <t>2026-05-06</t>
        </is>
      </c>
      <c r="B130" s="4" t="n">
        <v>1027387.75</v>
      </c>
    </row>
    <row r="131">
      <c r="A131" s="12" t="inlineStr">
        <is>
          <t>2026-05-07</t>
        </is>
      </c>
      <c r="B131" s="13" t="n">
        <v>1034795.94</v>
      </c>
    </row>
    <row r="132">
      <c r="A132" s="10" t="inlineStr">
        <is>
          <t>2026-05-08</t>
        </is>
      </c>
      <c r="B132" s="4" t="n">
        <v>1032907.49</v>
      </c>
    </row>
    <row r="133">
      <c r="A133" s="12" t="inlineStr">
        <is>
          <t>2026-05-11</t>
        </is>
      </c>
      <c r="B133" s="13" t="n">
        <v>1015331.02</v>
      </c>
    </row>
    <row r="134">
      <c r="A134" s="10" t="inlineStr">
        <is>
          <t>2026-05-12</t>
        </is>
      </c>
      <c r="B134" s="4" t="n">
        <v>1010937.91</v>
      </c>
    </row>
    <row r="135">
      <c r="A135" s="12" t="inlineStr">
        <is>
          <t>2026-05-13</t>
        </is>
      </c>
      <c r="B135" s="13" t="n">
        <v>996866.8</v>
      </c>
    </row>
    <row r="136">
      <c r="A136" s="10" t="inlineStr">
        <is>
          <t>2026-05-14</t>
        </is>
      </c>
      <c r="B136" s="4" t="n">
        <v>1008057.17</v>
      </c>
    </row>
    <row r="137">
      <c r="A137" s="12" t="inlineStr">
        <is>
          <t>2026-05-15</t>
        </is>
      </c>
      <c r="B137" s="13" t="n">
        <v>1010905.61</v>
      </c>
    </row>
    <row r="138">
      <c r="A138" s="10" t="inlineStr">
        <is>
          <t>2026-05-18</t>
        </is>
      </c>
      <c r="B138" s="4" t="n">
        <v>1008270.67</v>
      </c>
    </row>
    <row r="139">
      <c r="A139" s="12" t="inlineStr">
        <is>
          <t>2026-05-19</t>
        </is>
      </c>
      <c r="B139" s="13" t="n">
        <v>995181.03</v>
      </c>
    </row>
    <row r="140">
      <c r="A140" s="10" t="inlineStr">
        <is>
          <t>2026-05-20</t>
        </is>
      </c>
      <c r="B140" s="4" t="n">
        <v>1012313.28</v>
      </c>
    </row>
    <row r="141">
      <c r="A141" s="12" t="inlineStr">
        <is>
          <t>2026-05-21</t>
        </is>
      </c>
      <c r="B141" s="13" t="n">
        <v>1021177.12</v>
      </c>
    </row>
    <row r="142">
      <c r="A142" s="10" t="inlineStr">
        <is>
          <t>2026-05-22</t>
        </is>
      </c>
      <c r="B142" s="4" t="n">
        <v>1022017.19</v>
      </c>
    </row>
    <row r="143">
      <c r="A143" s="12" t="inlineStr">
        <is>
          <t>2026-05-25</t>
        </is>
      </c>
      <c r="B143" s="13" t="n">
        <v>993609.49</v>
      </c>
    </row>
    <row r="144">
      <c r="A144" s="10" t="inlineStr">
        <is>
          <t>2026-05-26</t>
        </is>
      </c>
      <c r="B144" s="4" t="n">
        <v>1015610.69</v>
      </c>
    </row>
    <row r="145">
      <c r="A145" s="12" t="inlineStr">
        <is>
          <t>2026-05-27</t>
        </is>
      </c>
      <c r="B145" s="13" t="n">
        <v>995802</v>
      </c>
    </row>
    <row r="146">
      <c r="A146" s="10" t="inlineStr">
        <is>
          <t>2026-05-28</t>
        </is>
      </c>
      <c r="B146" s="4" t="n">
        <v>988320.51</v>
      </c>
    </row>
    <row r="147">
      <c r="A147" s="12" t="inlineStr">
        <is>
          <t>2026-05-29</t>
        </is>
      </c>
      <c r="B147" s="13" t="n">
        <v>985468.92</v>
      </c>
    </row>
    <row r="148">
      <c r="A148" s="10" t="inlineStr">
        <is>
          <t>2026-06-01</t>
        </is>
      </c>
      <c r="B148" s="4" t="n">
        <v>1001797.36</v>
      </c>
    </row>
    <row r="149">
      <c r="A149" s="12" t="inlineStr">
        <is>
          <t>2026-06-02</t>
        </is>
      </c>
      <c r="B149" s="13" t="n">
        <v>1103863.2</v>
      </c>
    </row>
    <row r="150">
      <c r="A150" s="10" t="inlineStr">
        <is>
          <t>2026-06-03</t>
        </is>
      </c>
      <c r="B150" s="4" t="n">
        <v>1113203.46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1113203.46</v>
      </c>
      <c r="C4" s="4" t="n">
        <v>2047699.95</v>
      </c>
      <c r="D4" s="4" t="n">
        <v>984486.4399999999</v>
      </c>
      <c r="E4" s="4" t="n">
        <v>3032186.39</v>
      </c>
      <c r="F4" s="4" t="n">
        <v>1063213.51</v>
      </c>
      <c r="G4" s="5" t="n">
        <v>2.724</v>
      </c>
      <c r="H4" s="5" t="n">
        <v>0.955</v>
      </c>
      <c r="I4" s="5" t="n">
        <v>272.38</v>
      </c>
      <c r="J4" s="5" t="n">
        <v>136.19</v>
      </c>
      <c r="K4" s="24" t="n">
        <v>18</v>
      </c>
    </row>
    <row r="5">
      <c r="A5" s="12" t="inlineStr">
        <is>
          <t>MRPT</t>
        </is>
      </c>
      <c r="B5" s="13" t="n">
        <v>542610.92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0.331</v>
      </c>
      <c r="H5" s="25" t="n">
        <v>0.022</v>
      </c>
      <c r="I5" s="25" t="n">
        <v>33.15</v>
      </c>
      <c r="J5" s="25" t="n">
        <v>16.57</v>
      </c>
      <c r="K5" s="26" t="n">
        <v>1</v>
      </c>
    </row>
    <row r="6">
      <c r="A6" s="10" t="inlineStr">
        <is>
          <t>MTFS</t>
        </is>
      </c>
      <c r="B6" s="4" t="n">
        <v>570592.53</v>
      </c>
      <c r="C6" s="4" t="n">
        <v>1951815.71</v>
      </c>
      <c r="D6" s="4" t="n">
        <v>900505.4</v>
      </c>
      <c r="E6" s="4" t="n">
        <v>2852321.11</v>
      </c>
      <c r="F6" s="4" t="n">
        <v>1051310.31</v>
      </c>
      <c r="G6" s="5" t="n">
        <v>4.999</v>
      </c>
      <c r="H6" s="5" t="n">
        <v>1.842</v>
      </c>
      <c r="I6" s="5" t="n">
        <v>499.89</v>
      </c>
      <c r="J6" s="5" t="n">
        <v>249.94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HHI=0.0611  ·  effective N pairs=16.4  ·  max pair=8.64%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361162.9</v>
      </c>
      <c r="C6" s="4" t="n">
        <v>361162.9</v>
      </c>
      <c r="D6" s="20" t="n">
        <v>32.44</v>
      </c>
      <c r="E6" s="20" t="n">
        <v>11.91</v>
      </c>
      <c r="F6" s="24" t="n">
        <v>2</v>
      </c>
    </row>
    <row r="7">
      <c r="A7" s="12" t="inlineStr">
        <is>
          <t>LRCX</t>
        </is>
      </c>
      <c r="B7" s="13" t="n">
        <v>296278.02</v>
      </c>
      <c r="C7" s="13" t="n">
        <v>296278.02</v>
      </c>
      <c r="D7" s="19" t="n">
        <v>26.61</v>
      </c>
      <c r="E7" s="19" t="n">
        <v>9.77</v>
      </c>
      <c r="F7" s="26" t="n">
        <v>2</v>
      </c>
    </row>
    <row r="8">
      <c r="A8" s="10" t="inlineStr">
        <is>
          <t>STLD</t>
        </is>
      </c>
      <c r="B8" s="4" t="n">
        <v>276230.52</v>
      </c>
      <c r="C8" s="4" t="n">
        <v>276230.52</v>
      </c>
      <c r="D8" s="20" t="n">
        <v>24.81</v>
      </c>
      <c r="E8" s="20" t="n">
        <v>9.109999999999999</v>
      </c>
      <c r="F8" s="24" t="n">
        <v>2</v>
      </c>
    </row>
    <row r="9">
      <c r="A9" s="12" t="inlineStr">
        <is>
          <t>KLAC</t>
        </is>
      </c>
      <c r="B9" s="13" t="n">
        <v>231636.99</v>
      </c>
      <c r="C9" s="13" t="n">
        <v>231636.99</v>
      </c>
      <c r="D9" s="19" t="n">
        <v>20.81</v>
      </c>
      <c r="E9" s="19" t="n">
        <v>7.64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0" t="n">
        <v>20.73</v>
      </c>
      <c r="E10" s="20" t="n">
        <v>7.61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19" t="n">
        <v>15.52</v>
      </c>
      <c r="E11" s="19" t="n">
        <v>5.7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0" t="n">
        <v>15.23</v>
      </c>
      <c r="E12" s="20" t="n">
        <v>5.59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22" t="n">
        <v>-137673.42</v>
      </c>
      <c r="D13" s="19" t="n">
        <v>12.37</v>
      </c>
      <c r="E13" s="19" t="n">
        <v>4.54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8" t="n">
        <v>-132480.7</v>
      </c>
      <c r="D14" s="20" t="n">
        <v>11.9</v>
      </c>
      <c r="E14" s="20" t="n">
        <v>4.37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22" t="n">
        <v>-100597.64</v>
      </c>
      <c r="D15" s="19" t="n">
        <v>9.039999999999999</v>
      </c>
      <c r="E15" s="19" t="n">
        <v>3.32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1052772.55</v>
      </c>
      <c r="C20" s="4" t="n">
        <v>126135.72</v>
      </c>
      <c r="D20" s="4" t="n">
        <v>926636.83</v>
      </c>
      <c r="E20" s="7" t="n">
        <v>30.56</v>
      </c>
    </row>
    <row r="21">
      <c r="A21" s="12" t="inlineStr">
        <is>
          <t>materials</t>
        </is>
      </c>
      <c r="B21" s="13" t="n">
        <v>445816.86</v>
      </c>
      <c r="C21" s="17" t="n">
        <v>0</v>
      </c>
      <c r="D21" s="13" t="n">
        <v>445816.86</v>
      </c>
      <c r="E21" s="16" t="n">
        <v>14.7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8" t="n">
        <v>-426045.65</v>
      </c>
      <c r="E22" s="7" t="n">
        <v>-14.05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6" t="n">
        <v>13.26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8" t="n">
        <v>-184524.16</v>
      </c>
      <c r="E24" s="7" t="n">
        <v>-6.09</v>
      </c>
    </row>
    <row r="25">
      <c r="A25" s="12" t="inlineStr">
        <is>
          <t>finance</t>
        </is>
      </c>
      <c r="B25" s="17" t="n">
        <v>0</v>
      </c>
      <c r="C25" s="13" t="n">
        <v>100714.55</v>
      </c>
      <c r="D25" s="22" t="n">
        <v>-100714.55</v>
      </c>
      <c r="E25" s="16" t="n">
        <v>-3.32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1.825</v>
      </c>
    </row>
    <row r="4">
      <c r="A4" s="3" t="inlineStr">
        <is>
          <t>Gross beta</t>
        </is>
      </c>
      <c r="B4" s="5" t="n">
        <v>2.745</v>
      </c>
    </row>
    <row r="5">
      <c r="A5" s="3" t="inlineStr">
        <is>
          <t>Momentum factor net (% NAV)</t>
        </is>
      </c>
      <c r="B5" s="5" t="n">
        <v>94.44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0" t="n">
        <v>30.56</v>
      </c>
    </row>
    <row r="11">
      <c r="A11" s="12" t="inlineStr">
        <is>
          <t>materials</t>
        </is>
      </c>
      <c r="B11" s="19" t="n">
        <v>14.7</v>
      </c>
    </row>
    <row r="12">
      <c r="A12" s="10" t="inlineStr">
        <is>
          <t>health</t>
        </is>
      </c>
      <c r="B12" s="21" t="n">
        <v>-14.05</v>
      </c>
    </row>
    <row r="13">
      <c r="A13" s="12" t="inlineStr">
        <is>
          <t>industrial</t>
        </is>
      </c>
      <c r="B13" s="19" t="n">
        <v>13.26</v>
      </c>
    </row>
    <row r="14">
      <c r="A14" s="10" t="inlineStr">
        <is>
          <t>food</t>
        </is>
      </c>
      <c r="B14" s="21" t="n">
        <v>-6.09</v>
      </c>
    </row>
    <row r="15">
      <c r="A15" s="12" t="inlineStr">
        <is>
          <t>finance</t>
        </is>
      </c>
      <c r="B15" s="23" t="n">
        <v>-3.32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38394.23</v>
      </c>
    </row>
    <row r="4">
      <c r="A4" s="3" t="inlineStr">
        <is>
          <t>Parametric VaR 99% 1d ($)</t>
        </is>
      </c>
      <c r="B4" s="4" t="n">
        <v>54288.74</v>
      </c>
    </row>
    <row r="5">
      <c r="A5" s="3" t="inlineStr">
        <is>
          <t>Annual vol ($)</t>
        </is>
      </c>
      <c r="B5" s="4" t="n">
        <v>370510.33</v>
      </c>
    </row>
    <row r="6">
      <c r="A6" s="3" t="inlineStr">
        <is>
          <t>Annual vol (% NAV)</t>
        </is>
      </c>
      <c r="B6" s="5" t="n">
        <v>33.28</v>
      </c>
    </row>
    <row r="7">
      <c r="A7" s="3" t="inlineStr">
        <is>
          <t>Historical VaR 95% 1d ($)</t>
        </is>
      </c>
      <c r="B7" s="4" t="n">
        <v>26685.64</v>
      </c>
    </row>
    <row r="8">
      <c r="A8" s="3" t="inlineStr">
        <is>
          <t>Historical CVaR 95% 1d ($)</t>
        </is>
      </c>
      <c r="B8" s="4" t="n">
        <v>28974.03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5927.26</v>
      </c>
      <c r="C12" s="7" t="n">
        <v>15.44</v>
      </c>
    </row>
    <row r="13">
      <c r="A13" s="12" t="inlineStr">
        <is>
          <t>LRCX/RMD</t>
        </is>
      </c>
      <c r="B13" s="13" t="n">
        <v>4816.52</v>
      </c>
      <c r="C13" s="16" t="n">
        <v>12.54</v>
      </c>
    </row>
    <row r="14">
      <c r="A14" s="10" t="inlineStr">
        <is>
          <t>KLAC/REGN</t>
        </is>
      </c>
      <c r="B14" s="4" t="n">
        <v>3890.43</v>
      </c>
      <c r="C14" s="7" t="n">
        <v>10.13</v>
      </c>
    </row>
    <row r="15">
      <c r="A15" s="12" t="inlineStr">
        <is>
          <t>STLD/HII</t>
        </is>
      </c>
      <c r="B15" s="13" t="n">
        <v>3182.2</v>
      </c>
      <c r="C15" s="16" t="n">
        <v>8.289999999999999</v>
      </c>
    </row>
    <row r="16">
      <c r="A16" s="10" t="inlineStr">
        <is>
          <t>STLD/ISRG</t>
        </is>
      </c>
      <c r="B16" s="4" t="n">
        <v>2784.76</v>
      </c>
      <c r="C16" s="7" t="n">
        <v>7.25</v>
      </c>
    </row>
    <row r="17">
      <c r="A17" s="12" t="inlineStr">
        <is>
          <t>KLAC/LOW</t>
        </is>
      </c>
      <c r="B17" s="13" t="n">
        <v>2127.92</v>
      </c>
      <c r="C17" s="16" t="n">
        <v>5.54</v>
      </c>
    </row>
    <row r="18">
      <c r="A18" s="10" t="inlineStr">
        <is>
          <t>CSCO/CAG</t>
        </is>
      </c>
      <c r="B18" s="4" t="n">
        <v>2056.89</v>
      </c>
      <c r="C18" s="7" t="n">
        <v>5.36</v>
      </c>
    </row>
    <row r="19">
      <c r="A19" s="12" t="inlineStr">
        <is>
          <t>NUE/MKTX</t>
        </is>
      </c>
      <c r="B19" s="13" t="n">
        <v>2008.59</v>
      </c>
      <c r="C19" s="16" t="n">
        <v>5.23</v>
      </c>
    </row>
    <row r="20">
      <c r="A20" s="10" t="inlineStr">
        <is>
          <t>NUE/INTU</t>
        </is>
      </c>
      <c r="B20" s="4" t="n">
        <v>1774.32</v>
      </c>
      <c r="C20" s="7" t="n">
        <v>4.62</v>
      </c>
    </row>
    <row r="21">
      <c r="A21" s="12" t="inlineStr">
        <is>
          <t>FFIV/VLTO</t>
        </is>
      </c>
      <c r="B21" s="13" t="n">
        <v>1703.79</v>
      </c>
      <c r="C21" s="16" t="n">
        <v>4.44</v>
      </c>
    </row>
    <row r="22">
      <c r="A22" s="10" t="inlineStr">
        <is>
          <t>ODFL/MKTX</t>
        </is>
      </c>
      <c r="B22" s="4" t="n">
        <v>1687.93</v>
      </c>
      <c r="C22" s="7" t="n">
        <v>4.4</v>
      </c>
    </row>
    <row r="23">
      <c r="A23" s="12" t="inlineStr">
        <is>
          <t>BWA/CME</t>
        </is>
      </c>
      <c r="B23" s="13" t="n">
        <v>1647.3</v>
      </c>
      <c r="C23" s="16" t="n">
        <v>4.29</v>
      </c>
    </row>
    <row r="24">
      <c r="A24" s="10" t="inlineStr">
        <is>
          <t>CI/MTD</t>
        </is>
      </c>
      <c r="B24" s="4" t="n">
        <v>1455.49</v>
      </c>
      <c r="C24" s="7" t="n">
        <v>3.79</v>
      </c>
    </row>
    <row r="25">
      <c r="A25" s="12" t="inlineStr">
        <is>
          <t>CSCO/REGN</t>
        </is>
      </c>
      <c r="B25" s="13" t="n">
        <v>1348.72</v>
      </c>
      <c r="C25" s="16" t="n">
        <v>3.51</v>
      </c>
    </row>
    <row r="26">
      <c r="A26" s="10" t="inlineStr">
        <is>
          <t>BWA/VLTO</t>
        </is>
      </c>
      <c r="B26" s="4" t="n">
        <v>808.65</v>
      </c>
      <c r="C26" s="7" t="n">
        <v>2.11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1640087</v>
      </c>
      <c r="E6" s="7" t="n">
        <v>0</v>
      </c>
    </row>
    <row r="7">
      <c r="A7" s="12" t="inlineStr">
        <is>
          <t>MTD</t>
        </is>
      </c>
      <c r="B7" s="16" t="inlineStr">
        <is>
          <t>CI/MTD</t>
        </is>
      </c>
      <c r="C7" s="17" t="n">
        <v>82</v>
      </c>
      <c r="D7" s="13" t="n">
        <v>221091</v>
      </c>
      <c r="E7" s="16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1848110</v>
      </c>
      <c r="E8" s="7" t="n">
        <v>0</v>
      </c>
    </row>
    <row r="9">
      <c r="A9" s="12" t="inlineStr">
        <is>
          <t>MKTX</t>
        </is>
      </c>
      <c r="B9" s="16" t="inlineStr">
        <is>
          <t>ODFL/MKTX</t>
        </is>
      </c>
      <c r="C9" s="13" t="n">
        <v>396</v>
      </c>
      <c r="D9" s="13" t="n">
        <v>655925</v>
      </c>
      <c r="E9" s="16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1848110</v>
      </c>
      <c r="E10" s="7" t="n">
        <v>0</v>
      </c>
    </row>
    <row r="11">
      <c r="A11" s="12" t="inlineStr">
        <is>
          <t>JKHY</t>
        </is>
      </c>
      <c r="B11" s="16" t="inlineStr">
        <is>
          <t>ODFL/JKHY</t>
        </is>
      </c>
      <c r="C11" s="13" t="n">
        <v>191</v>
      </c>
      <c r="D11" s="13" t="n">
        <v>1445650</v>
      </c>
      <c r="E11" s="16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11" t="n">
        <v>67</v>
      </c>
      <c r="D12" s="4" t="n">
        <v>1015071</v>
      </c>
      <c r="E12" s="7" t="n">
        <v>0</v>
      </c>
    </row>
    <row r="13">
      <c r="A13" s="12" t="inlineStr">
        <is>
          <t>REGN</t>
        </is>
      </c>
      <c r="B13" s="16" t="inlineStr">
        <is>
          <t>KLAC/REGN</t>
        </is>
      </c>
      <c r="C13" s="17" t="n">
        <v>23</v>
      </c>
      <c r="D13" s="13" t="n">
        <v>1013572</v>
      </c>
      <c r="E13" s="16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10177030</v>
      </c>
      <c r="E14" s="7" t="n">
        <v>0</v>
      </c>
    </row>
    <row r="15">
      <c r="A15" s="12" t="inlineStr">
        <is>
          <t>IQV</t>
        </is>
      </c>
      <c r="B15" s="16" t="inlineStr">
        <is>
          <t>PANW/IQV</t>
        </is>
      </c>
      <c r="C15" s="13" t="n">
        <v>350</v>
      </c>
      <c r="D15" s="13" t="n">
        <v>1843050</v>
      </c>
      <c r="E15" s="16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11" t="n">
        <v>42</v>
      </c>
      <c r="D16" s="4" t="n">
        <v>1015071</v>
      </c>
      <c r="E16" s="7" t="n">
        <v>0</v>
      </c>
    </row>
    <row r="17">
      <c r="A17" s="12" t="inlineStr">
        <is>
          <t>LOW</t>
        </is>
      </c>
      <c r="B17" s="16" t="inlineStr">
        <is>
          <t>KLAC/LOW</t>
        </is>
      </c>
      <c r="C17" s="13" t="n">
        <v>382</v>
      </c>
      <c r="D17" s="13" t="n">
        <v>3117387</v>
      </c>
      <c r="E17" s="16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751744</v>
      </c>
      <c r="E18" s="7" t="n">
        <v>0</v>
      </c>
    </row>
    <row r="19">
      <c r="A19" s="12" t="inlineStr">
        <is>
          <t>VLTO</t>
        </is>
      </c>
      <c r="B19" s="16" t="inlineStr">
        <is>
          <t>FFIV/VLTO</t>
        </is>
      </c>
      <c r="C19" s="13" t="n">
        <v>665</v>
      </c>
      <c r="D19" s="13" t="n">
        <v>2459059</v>
      </c>
      <c r="E19" s="16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9028081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-101579.82</v>
      </c>
      <c r="C4" s="21" t="n">
        <v>-9.119999999999999</v>
      </c>
    </row>
    <row r="5">
      <c r="A5" s="12" t="inlineStr">
        <is>
          <t>SPY -10%</t>
        </is>
      </c>
      <c r="B5" s="22" t="n">
        <v>-203159.63</v>
      </c>
      <c r="C5" s="23" t="n">
        <v>-18.25</v>
      </c>
    </row>
    <row r="6">
      <c r="A6" s="10" t="inlineStr">
        <is>
          <t>VIX +10pt</t>
        </is>
      </c>
      <c r="B6" s="18" t="n">
        <v>-101579.82</v>
      </c>
      <c r="C6" s="21" t="n">
        <v>-9.119999999999999</v>
      </c>
    </row>
    <row r="7">
      <c r="A7" s="12" t="inlineStr">
        <is>
          <t>Top sector -10%</t>
        </is>
      </c>
      <c r="B7" s="22" t="n">
        <v>-92663.67999999999</v>
      </c>
      <c r="C7" s="23" t="n">
        <v>-8.32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0.33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5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1.84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32.44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LRCX</t>
        </is>
      </c>
      <c r="C9" s="32" t="n">
        <v>26.61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STLD</t>
        </is>
      </c>
      <c r="C10" s="34" t="n">
        <v>24.81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30.56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8.640000000000001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1.82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3.45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6" t="inlineStr">
        <is>
          <t>CI/MTD</t>
        </is>
      </c>
      <c r="C4" s="16" t="inlineStr">
        <is>
          <t>CI</t>
        </is>
      </c>
      <c r="D4" s="16" t="inlineStr">
        <is>
          <t>short</t>
        </is>
      </c>
      <c r="E4" s="26" t="n">
        <v>-312</v>
      </c>
      <c r="F4" s="13" t="n">
        <v>269.17</v>
      </c>
      <c r="G4" s="22" t="n">
        <v>-83981.03999999999</v>
      </c>
      <c r="H4" s="16" t="inlineStr">
        <is>
          <t>health</t>
        </is>
      </c>
      <c r="I4" s="16" t="n">
        <v>0</v>
      </c>
      <c r="J4" s="16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6" t="inlineStr">
        <is>
          <t>ODFL/MKTX</t>
        </is>
      </c>
      <c r="C6" s="16" t="inlineStr">
        <is>
          <t>ODFL</t>
        </is>
      </c>
      <c r="D6" s="16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6" t="inlineStr">
        <is>
          <t>industrial</t>
        </is>
      </c>
      <c r="I6" s="16" t="n">
        <v>0</v>
      </c>
      <c r="J6" s="16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8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6" t="inlineStr">
        <is>
          <t>ODFL/JKHY</t>
        </is>
      </c>
      <c r="C8" s="16" t="inlineStr">
        <is>
          <t>ODFL</t>
        </is>
      </c>
      <c r="D8" s="16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6" t="inlineStr">
        <is>
          <t>industrial</t>
        </is>
      </c>
      <c r="I8" s="16" t="n">
        <v>0</v>
      </c>
      <c r="J8" s="16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8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6" t="inlineStr">
        <is>
          <t>KLAC/REGN</t>
        </is>
      </c>
      <c r="C10" s="16" t="inlineStr">
        <is>
          <t>KLAC</t>
        </is>
      </c>
      <c r="D10" s="16" t="inlineStr">
        <is>
          <t>long</t>
        </is>
      </c>
      <c r="E10" s="26" t="n">
        <v>67</v>
      </c>
      <c r="F10" s="13" t="n">
        <v>2125.11</v>
      </c>
      <c r="G10" s="13" t="n">
        <v>142382.37</v>
      </c>
      <c r="H10" s="16" t="inlineStr">
        <is>
          <t>tech</t>
        </is>
      </c>
      <c r="I10" s="16" t="n">
        <v>0</v>
      </c>
      <c r="J10" s="16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8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6" t="inlineStr">
        <is>
          <t>PANW/IQV</t>
        </is>
      </c>
      <c r="C12" s="16" t="inlineStr">
        <is>
          <t>PANW</t>
        </is>
      </c>
      <c r="D12" s="16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6" t="inlineStr">
        <is>
          <t>tech</t>
        </is>
      </c>
      <c r="I12" s="16" t="n">
        <v>0</v>
      </c>
      <c r="J12" s="16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8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6" t="inlineStr">
        <is>
          <t>KLAC/LOW</t>
        </is>
      </c>
      <c r="C14" s="16" t="inlineStr">
        <is>
          <t>KLAC</t>
        </is>
      </c>
      <c r="D14" s="16" t="inlineStr">
        <is>
          <t>long</t>
        </is>
      </c>
      <c r="E14" s="26" t="n">
        <v>42</v>
      </c>
      <c r="F14" s="13" t="n">
        <v>2125.11</v>
      </c>
      <c r="G14" s="13" t="n">
        <v>89254.62</v>
      </c>
      <c r="H14" s="16" t="inlineStr">
        <is>
          <t>tech</t>
        </is>
      </c>
      <c r="I14" s="16" t="n">
        <v>1</v>
      </c>
      <c r="J14" s="16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8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6" t="inlineStr">
        <is>
          <t>FFIV/VLTO</t>
        </is>
      </c>
      <c r="C16" s="16" t="inlineStr">
        <is>
          <t>FFIV</t>
        </is>
      </c>
      <c r="D16" s="16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6" t="inlineStr">
        <is>
          <t>tech</t>
        </is>
      </c>
      <c r="I16" s="16" t="n">
        <v>0</v>
      </c>
      <c r="J16" s="16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8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6" t="inlineStr">
        <is>
          <t>LRCX/BSX</t>
        </is>
      </c>
      <c r="C18" s="16" t="inlineStr">
        <is>
          <t>LRCX</t>
        </is>
      </c>
      <c r="D18" s="16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6" t="inlineStr">
        <is>
          <t>tech</t>
        </is>
      </c>
      <c r="I18" s="16" t="n">
        <v>0</v>
      </c>
      <c r="J18" s="16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8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6" t="inlineStr">
        <is>
          <t>LRCX/RMD</t>
        </is>
      </c>
      <c r="C20" s="16" t="inlineStr">
        <is>
          <t>LRCX</t>
        </is>
      </c>
      <c r="D20" s="16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6" t="inlineStr">
        <is>
          <t>tech</t>
        </is>
      </c>
      <c r="I20" s="16" t="n">
        <v>0</v>
      </c>
      <c r="J20" s="16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8" t="n">
        <v>-53700.48</v>
      </c>
      <c r="H21" s="7" t="inlineStr">
        <is>
          <t>health</t>
        </is>
      </c>
      <c r="I21" s="7" t="n">
        <v>0</v>
      </c>
      <c r="J21" s="7" t="inlineStr">
        <is>
          <t>fast_rebalance</t>
        </is>
      </c>
    </row>
    <row r="22">
      <c r="A22" s="12" t="inlineStr">
        <is>
          <t>MTFS</t>
        </is>
      </c>
      <c r="B22" s="16" t="inlineStr">
        <is>
          <t>ORCL/LOW</t>
        </is>
      </c>
      <c r="C22" s="16" t="inlineStr">
        <is>
          <t>ORCL</t>
        </is>
      </c>
      <c r="D22" s="16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6" t="inlineStr">
        <is>
          <t>tech</t>
        </is>
      </c>
      <c r="I22" s="16" t="n">
        <v>0</v>
      </c>
      <c r="J22" s="16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8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6" t="inlineStr">
        <is>
          <t>CSCO/CAG</t>
        </is>
      </c>
      <c r="C24" s="16" t="inlineStr">
        <is>
          <t>CSCO</t>
        </is>
      </c>
      <c r="D24" s="16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6" t="inlineStr">
        <is>
          <t>tech</t>
        </is>
      </c>
      <c r="I24" s="16" t="n">
        <v>0</v>
      </c>
      <c r="J24" s="16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8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6" t="inlineStr">
        <is>
          <t>NUE/INTU</t>
        </is>
      </c>
      <c r="C26" s="16" t="inlineStr">
        <is>
          <t>NUE</t>
        </is>
      </c>
      <c r="D26" s="16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6" t="inlineStr">
        <is>
          <t>materials</t>
        </is>
      </c>
      <c r="I26" s="16" t="n">
        <v>0</v>
      </c>
      <c r="J26" s="16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8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6" t="inlineStr">
        <is>
          <t>CSCO/REGN</t>
        </is>
      </c>
      <c r="C28" s="16" t="inlineStr">
        <is>
          <t>CSCO</t>
        </is>
      </c>
      <c r="D28" s="16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6" t="inlineStr">
        <is>
          <t>tech</t>
        </is>
      </c>
      <c r="I28" s="16" t="n">
        <v>0</v>
      </c>
      <c r="J28" s="16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8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6" t="inlineStr">
        <is>
          <t>NUE/MKTX</t>
        </is>
      </c>
      <c r="C30" s="16" t="inlineStr">
        <is>
          <t>NUE</t>
        </is>
      </c>
      <c r="D30" s="16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6" t="inlineStr">
        <is>
          <t>materials</t>
        </is>
      </c>
      <c r="I30" s="16" t="n">
        <v>0</v>
      </c>
      <c r="J30" s="16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8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6" t="inlineStr">
        <is>
          <t>STLD/ISRG</t>
        </is>
      </c>
      <c r="C32" s="16" t="inlineStr">
        <is>
          <t>STLD</t>
        </is>
      </c>
      <c r="D32" s="16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6" t="inlineStr">
        <is>
          <t>materials</t>
        </is>
      </c>
      <c r="I32" s="16" t="n">
        <v>0</v>
      </c>
      <c r="J32" s="16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8" t="n">
        <v>-32175.91</v>
      </c>
      <c r="H33" s="7" t="inlineStr">
        <is>
          <t>health</t>
        </is>
      </c>
      <c r="I33" s="7" t="n">
        <v>0</v>
      </c>
      <c r="J33" s="7" t="inlineStr">
        <is>
          <t>beta_neutral</t>
        </is>
      </c>
    </row>
    <row r="34">
      <c r="A34" s="12" t="inlineStr">
        <is>
          <t>MTFS</t>
        </is>
      </c>
      <c r="B34" s="16" t="inlineStr">
        <is>
          <t>BWA/VLTO</t>
        </is>
      </c>
      <c r="C34" s="16" t="inlineStr">
        <is>
          <t>BWA</t>
        </is>
      </c>
      <c r="D34" s="16" t="inlineStr">
        <is>
          <t>long</t>
        </is>
      </c>
      <c r="E34" s="26" t="n">
        <v>2359</v>
      </c>
      <c r="F34" s="17" t="n">
        <v>76.55</v>
      </c>
      <c r="G34" s="13" t="n">
        <v>180581.45</v>
      </c>
      <c r="H34" s="16" t="inlineStr">
        <is>
          <t>industrial</t>
        </is>
      </c>
      <c r="I34" s="16" t="n">
        <v>0</v>
      </c>
      <c r="J34" s="16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8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6" t="inlineStr">
        <is>
          <t>STLD/HII</t>
        </is>
      </c>
      <c r="C36" s="16" t="inlineStr">
        <is>
          <t>STLD</t>
        </is>
      </c>
      <c r="D36" s="16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6" t="inlineStr">
        <is>
          <t>materials</t>
        </is>
      </c>
      <c r="I36" s="16" t="n">
        <v>0</v>
      </c>
      <c r="J36" s="16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8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6" t="inlineStr">
        <is>
          <t>BWA/CME</t>
        </is>
      </c>
      <c r="C38" s="16" t="inlineStr">
        <is>
          <t>BWA</t>
        </is>
      </c>
      <c r="D38" s="16" t="inlineStr">
        <is>
          <t>long</t>
        </is>
      </c>
      <c r="E38" s="26" t="n">
        <v>2359</v>
      </c>
      <c r="F38" s="17" t="n">
        <v>76.55</v>
      </c>
      <c r="G38" s="13" t="n">
        <v>180581.45</v>
      </c>
      <c r="H38" s="16" t="inlineStr">
        <is>
          <t>industrial</t>
        </is>
      </c>
      <c r="I38" s="16" t="n">
        <v>0</v>
      </c>
      <c r="J38" s="16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8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6" t="inlineStr">
        <is>
          <t>CI/MTD</t>
        </is>
      </c>
      <c r="C4" s="13" t="n">
        <v>13653.58</v>
      </c>
      <c r="D4" s="13" t="n">
        <v>179865.28</v>
      </c>
      <c r="E4" s="16" t="n">
        <v>0</v>
      </c>
      <c r="F4" s="16" t="inlineStr">
        <is>
          <t>vol_agnostic</t>
        </is>
      </c>
      <c r="G4" s="16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6" t="inlineStr">
        <is>
          <t>ODFL/JKHY</t>
        </is>
      </c>
      <c r="C6" s="13" t="n">
        <v>4859.49</v>
      </c>
      <c r="D6" s="13" t="n">
        <v>55643.51</v>
      </c>
      <c r="E6" s="16" t="n">
        <v>0</v>
      </c>
      <c r="F6" s="16" t="inlineStr">
        <is>
          <t>conservative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7979.65</v>
      </c>
      <c r="D7" s="4" t="n">
        <v>156618.22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6" t="inlineStr">
        <is>
          <t>PANW/IQV</t>
        </is>
      </c>
      <c r="C8" s="13" t="n">
        <v>1696.18</v>
      </c>
      <c r="D8" s="13" t="n">
        <v>129057.69</v>
      </c>
      <c r="E8" s="16" t="n">
        <v>0</v>
      </c>
      <c r="F8" s="16" t="inlineStr">
        <is>
          <t>monthly_aligned_windows</t>
        </is>
      </c>
      <c r="G8" s="16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12217.3</v>
      </c>
      <c r="D9" s="4" t="n">
        <v>168576.92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6" t="inlineStr">
        <is>
          <t>FFIV/VLTO</t>
        </is>
      </c>
      <c r="C10" s="13" t="n">
        <v>8678.629999999999</v>
      </c>
      <c r="D10" s="13" t="n">
        <v>229116.71</v>
      </c>
      <c r="E10" s="16" t="n">
        <v>0</v>
      </c>
      <c r="F10" s="16" t="inlineStr">
        <is>
          <t>long_term_tilt</t>
        </is>
      </c>
      <c r="G10" s="16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6" t="inlineStr">
        <is>
          <t>LRCX/RMD</t>
        </is>
      </c>
      <c r="C12" s="13" t="n">
        <v>12187.11</v>
      </c>
      <c r="D12" s="13" t="n">
        <v>201839.49</v>
      </c>
      <c r="E12" s="16" t="n">
        <v>0</v>
      </c>
      <c r="F12" s="16" t="inlineStr">
        <is>
          <t>fast_rebalance</t>
        </is>
      </c>
      <c r="G12" s="16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6" t="inlineStr">
        <is>
          <t>CSCO/CAG</t>
        </is>
      </c>
      <c r="C14" s="13" t="n">
        <v>8440.860000000001</v>
      </c>
      <c r="D14" s="13" t="n">
        <v>167411.46</v>
      </c>
      <c r="E14" s="16" t="n">
        <v>0</v>
      </c>
      <c r="F14" s="16" t="inlineStr">
        <is>
          <t>fast_strict</t>
        </is>
      </c>
      <c r="G14" s="16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6" t="inlineStr">
        <is>
          <t>CSCO/REGN</t>
        </is>
      </c>
      <c r="C16" s="13" t="n">
        <v>5173.83</v>
      </c>
      <c r="D16" s="13" t="n">
        <v>170454.55</v>
      </c>
      <c r="E16" s="16" t="n">
        <v>0</v>
      </c>
      <c r="F16" s="16" t="inlineStr">
        <is>
          <t>monthly_aligned_windows</t>
        </is>
      </c>
      <c r="G16" s="16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6" t="inlineStr">
        <is>
          <t>STLD/ISRG</t>
        </is>
      </c>
      <c r="C18" s="13" t="n">
        <v>8890.610000000001</v>
      </c>
      <c r="D18" s="13" t="n">
        <v>170291.17</v>
      </c>
      <c r="E18" s="16" t="n">
        <v>0</v>
      </c>
      <c r="F18" s="16" t="inlineStr">
        <is>
          <t>beta_neutral</t>
        </is>
      </c>
      <c r="G18" s="16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6" t="inlineStr">
        <is>
          <t>STLD/HII</t>
        </is>
      </c>
      <c r="C20" s="13" t="n">
        <v>11192.1</v>
      </c>
      <c r="D20" s="13" t="n">
        <v>189297.38</v>
      </c>
      <c r="E20" s="16" t="n">
        <v>0</v>
      </c>
      <c r="F20" s="16" t="inlineStr">
        <is>
          <t>weekly_aligned_windows</t>
        </is>
      </c>
      <c r="G20" s="16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6" t="inlineStr">
        <is>
          <t>2026-06-01</t>
        </is>
      </c>
      <c r="C5" s="16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6" t="inlineStr">
        <is>
          <t>2026-05-05</t>
        </is>
      </c>
      <c r="C7" s="16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15.17</v>
      </c>
      <c r="C6" s="7" t="n">
        <v>-1.48</v>
      </c>
      <c r="D6" s="7" t="n">
        <v>25</v>
      </c>
      <c r="E6" s="21" t="n">
        <v>-16.65</v>
      </c>
    </row>
    <row r="7">
      <c r="A7" s="12" t="inlineStr">
        <is>
          <t>MTFS</t>
        </is>
      </c>
      <c r="B7" s="16" t="n">
        <v>15.95</v>
      </c>
      <c r="C7" s="16" t="n">
        <v>28.24</v>
      </c>
      <c r="D7" s="16" t="n">
        <v>25</v>
      </c>
      <c r="E7" s="19" t="n">
        <v>12.29</v>
      </c>
    </row>
    <row r="8">
      <c r="A8" s="10" t="inlineStr">
        <is>
          <t>SSRS</t>
        </is>
      </c>
      <c r="B8" s="7" t="n">
        <v>28.26</v>
      </c>
      <c r="C8" s="7" t="n">
        <v>6.7</v>
      </c>
      <c r="D8" s="7" t="n">
        <v>25</v>
      </c>
      <c r="E8" s="21" t="n">
        <v>-21.57</v>
      </c>
    </row>
    <row r="9">
      <c r="A9" s="12" t="inlineStr">
        <is>
          <t>AISS</t>
        </is>
      </c>
      <c r="B9" s="16" t="n">
        <v>40.61</v>
      </c>
      <c r="C9" s="16" t="n">
        <v>66.54000000000001</v>
      </c>
      <c r="D9" s="16" t="n">
        <v>25</v>
      </c>
      <c r="E9" s="19" t="n">
        <v>25.93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15.44</v>
      </c>
    </row>
    <row r="14">
      <c r="A14" s="12" t="inlineStr">
        <is>
          <t>LRCX/RMD</t>
        </is>
      </c>
      <c r="B14" s="16" t="n">
        <v>12.54</v>
      </c>
    </row>
    <row r="15">
      <c r="A15" s="10" t="inlineStr">
        <is>
          <t>KLAC/REGN</t>
        </is>
      </c>
      <c r="B15" s="7" t="n">
        <v>10.13</v>
      </c>
    </row>
    <row r="16">
      <c r="A16" s="12" t="inlineStr">
        <is>
          <t>STLD/HII</t>
        </is>
      </c>
      <c r="B16" s="16" t="n">
        <v>8.289999999999999</v>
      </c>
    </row>
    <row r="17">
      <c r="A17" s="10" t="inlineStr">
        <is>
          <t>STLD/ISRG</t>
        </is>
      </c>
      <c r="B17" s="7" t="n">
        <v>7.25</v>
      </c>
    </row>
    <row r="18">
      <c r="A18" s="12" t="inlineStr">
        <is>
          <t>KLAC/LOW</t>
        </is>
      </c>
      <c r="B18" s="16" t="n">
        <v>5.54</v>
      </c>
    </row>
    <row r="19">
      <c r="A19" s="10" t="inlineStr">
        <is>
          <t>CSCO/CAG</t>
        </is>
      </c>
      <c r="B19" s="7" t="n">
        <v>5.36</v>
      </c>
    </row>
    <row r="20">
      <c r="A20" s="12" t="inlineStr">
        <is>
          <t>NUE/MKTX</t>
        </is>
      </c>
      <c r="B20" s="16" t="n">
        <v>5.23</v>
      </c>
    </row>
    <row r="21">
      <c r="A21" s="10" t="inlineStr">
        <is>
          <t>NUE/INTU</t>
        </is>
      </c>
      <c r="B21" s="7" t="n">
        <v>4.62</v>
      </c>
    </row>
    <row r="22">
      <c r="A22" s="12" t="inlineStr">
        <is>
          <t>FFIV/VLTO</t>
        </is>
      </c>
      <c r="B22" s="16" t="n">
        <v>4.44</v>
      </c>
    </row>
    <row r="23">
      <c r="A23" s="10" t="inlineStr">
        <is>
          <t>ODFL/MKTX</t>
        </is>
      </c>
      <c r="B23" s="7" t="n">
        <v>4.4</v>
      </c>
    </row>
    <row r="24">
      <c r="A24" s="12" t="inlineStr">
        <is>
          <t>BWA/CME</t>
        </is>
      </c>
      <c r="B24" s="16" t="n">
        <v>4.29</v>
      </c>
    </row>
    <row r="25">
      <c r="A25" s="10" t="inlineStr">
        <is>
          <t>CI/MTD</t>
        </is>
      </c>
      <c r="B25" s="7" t="n">
        <v>3.79</v>
      </c>
    </row>
    <row r="26">
      <c r="A26" s="12" t="inlineStr">
        <is>
          <t>CSCO/REGN</t>
        </is>
      </c>
      <c r="B26" s="16" t="n">
        <v>3.51</v>
      </c>
    </row>
    <row r="27">
      <c r="A27" s="10" t="inlineStr">
        <is>
          <t>BWA/VLTO</t>
        </is>
      </c>
      <c r="B27" s="7" t="n">
        <v>2.11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0" t="n">
        <v>38.26</v>
      </c>
      <c r="C5" s="7" t="n">
        <v>2.57</v>
      </c>
      <c r="D5" s="7" t="n">
        <v>0.074</v>
      </c>
      <c r="E5" s="7" t="n">
        <v>116</v>
      </c>
      <c r="F5" s="7" t="inlineStr">
        <is>
          <t>0.006 (t=0.07)</t>
        </is>
      </c>
      <c r="G5" s="7" t="inlineStr">
        <is>
          <t>-0.082 (t=-0.61)</t>
        </is>
      </c>
      <c r="H5" s="7" t="inlineStr">
        <is>
          <t>0.081 (t=0.67)</t>
        </is>
      </c>
      <c r="I5" s="7" t="inlineStr">
        <is>
          <t>0.094 (t=0.83)</t>
        </is>
      </c>
      <c r="J5" s="7" t="inlineStr">
        <is>
          <t>-0.101 (t=-0.57)</t>
        </is>
      </c>
      <c r="K5" s="7" t="inlineStr">
        <is>
          <t>-0.108 (t=-1.71)</t>
        </is>
      </c>
    </row>
    <row r="6">
      <c r="A6" s="12" t="inlineStr">
        <is>
          <t>MRPT</t>
        </is>
      </c>
      <c r="B6" s="19" t="n">
        <v>36.87</v>
      </c>
      <c r="C6" s="16" t="n">
        <v>1.17</v>
      </c>
      <c r="D6" s="16" t="n">
        <v>0.06</v>
      </c>
      <c r="E6" s="16" t="n">
        <v>116</v>
      </c>
      <c r="F6" s="16" t="inlineStr">
        <is>
          <t>0.151 (t=0.82)</t>
        </is>
      </c>
      <c r="G6" s="16" t="inlineStr">
        <is>
          <t>-0.231 (t=-0.81)</t>
        </is>
      </c>
      <c r="H6" s="16" t="inlineStr">
        <is>
          <t>-0.027 (t=-0.11)</t>
        </is>
      </c>
      <c r="I6" s="16" t="inlineStr">
        <is>
          <t>0.33 (t=1.39)</t>
        </is>
      </c>
      <c r="J6" s="16" t="inlineStr">
        <is>
          <t>-0.246 (t=-0.66)</t>
        </is>
      </c>
      <c r="K6" s="16" t="inlineStr">
        <is>
          <t>-0.163 (t=-1.22)</t>
        </is>
      </c>
    </row>
    <row r="7">
      <c r="A7" s="10" t="inlineStr">
        <is>
          <t>MTFS</t>
        </is>
      </c>
      <c r="B7" s="20" t="n">
        <v>44.08</v>
      </c>
      <c r="C7" s="7" t="n">
        <v>1.05</v>
      </c>
      <c r="D7" s="7" t="n">
        <v>0.026</v>
      </c>
      <c r="E7" s="7" t="n">
        <v>116</v>
      </c>
      <c r="F7" s="7" t="inlineStr">
        <is>
          <t>-0.2 (t=-0.81)</t>
        </is>
      </c>
      <c r="G7" s="7" t="inlineStr">
        <is>
          <t>0.156 (t=0.41)</t>
        </is>
      </c>
      <c r="H7" s="7" t="inlineStr">
        <is>
          <t>0.19 (t=0.56)</t>
        </is>
      </c>
      <c r="I7" s="7" t="inlineStr">
        <is>
          <t>-0.225 (t=-0.71)</t>
        </is>
      </c>
      <c r="J7" s="7" t="inlineStr">
        <is>
          <t>0.076 (t=0.15)</t>
        </is>
      </c>
      <c r="K7" s="7" t="inlineStr">
        <is>
          <t>-0.035 (t=-0.19)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4.085</v>
      </c>
      <c r="C4" s="7" t="n">
        <v>36.633</v>
      </c>
      <c r="D4" s="7" t="n">
        <v>0</v>
      </c>
      <c r="E4" s="7" t="b">
        <v>1</v>
      </c>
      <c r="F4" s="7" t="n">
        <v>1.79</v>
      </c>
      <c r="G4" s="7" t="n">
        <v>1.79</v>
      </c>
      <c r="H4" s="7" t="n">
        <v>0</v>
      </c>
    </row>
    <row r="5">
      <c r="A5" s="12" t="inlineStr">
        <is>
          <t>MRPT</t>
        </is>
      </c>
      <c r="B5" s="16" t="n">
        <v>-2.987</v>
      </c>
      <c r="C5" s="16" t="n">
        <v>21.509</v>
      </c>
      <c r="D5" s="16" t="n">
        <v>0</v>
      </c>
      <c r="E5" s="16" t="b">
        <v>1</v>
      </c>
      <c r="F5" s="16" t="n">
        <v>2.023</v>
      </c>
      <c r="G5" s="16" t="n">
        <v>2.336</v>
      </c>
      <c r="H5" s="16" t="n">
        <v>0.313</v>
      </c>
    </row>
    <row r="6">
      <c r="A6" s="10" t="inlineStr">
        <is>
          <t>MTFS</t>
        </is>
      </c>
      <c r="B6" s="7" t="n">
        <v>5.148</v>
      </c>
      <c r="C6" s="7" t="n">
        <v>39.416</v>
      </c>
      <c r="D6" s="7" t="n">
        <v>0</v>
      </c>
      <c r="E6" s="7" t="b">
        <v>1</v>
      </c>
      <c r="F6" s="7" t="n">
        <v>4.13</v>
      </c>
      <c r="G6" s="7" t="n">
        <v>4.13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1.846</v>
      </c>
      <c r="C9" s="7" t="n">
        <v>0.9581</v>
      </c>
      <c r="D9" s="7" t="n">
        <v>132</v>
      </c>
      <c r="E9" s="7" t="n">
        <v>8.640000000000001</v>
      </c>
      <c r="F9" s="7" t="n">
        <v>9.57</v>
      </c>
      <c r="G9" s="7" t="n">
        <v>76.2</v>
      </c>
      <c r="H9" s="7" t="n">
        <v>8.48</v>
      </c>
      <c r="I9" s="7" t="n">
        <v>4.24</v>
      </c>
      <c r="J9" s="7" t="n">
        <v>2.724</v>
      </c>
    </row>
    <row r="10">
      <c r="A10" s="12" t="inlineStr">
        <is>
          <t>MRPT</t>
        </is>
      </c>
      <c r="B10" s="16" t="n">
        <v>0.648</v>
      </c>
      <c r="C10" s="16" t="n">
        <v>0.6778999999999999</v>
      </c>
      <c r="D10" s="16" t="n">
        <v>1840</v>
      </c>
      <c r="E10" s="16" t="n">
        <v>10.65</v>
      </c>
      <c r="F10" s="16" t="n">
        <v>11.77</v>
      </c>
      <c r="G10" s="16" t="n">
        <v>81</v>
      </c>
      <c r="H10" s="16" t="n">
        <v>1.99</v>
      </c>
      <c r="I10" s="16" t="n">
        <v>0.99</v>
      </c>
      <c r="J10" s="16" t="n">
        <v>0.331</v>
      </c>
    </row>
    <row r="11">
      <c r="A11" s="10" t="inlineStr">
        <is>
          <t>MTFS</t>
        </is>
      </c>
      <c r="B11" s="7" t="n">
        <v>1.521</v>
      </c>
      <c r="C11" s="7" t="n">
        <v>0.9316</v>
      </c>
      <c r="D11" s="7" t="n">
        <v>178</v>
      </c>
      <c r="E11" s="7" t="n">
        <v>15.04</v>
      </c>
      <c r="F11" s="7" t="n">
        <v>16.75</v>
      </c>
      <c r="G11" s="7" t="n">
        <v>79.59999999999999</v>
      </c>
      <c r="H11" s="7" t="n">
        <v>3.32</v>
      </c>
      <c r="I11" s="7" t="n">
        <v>1.66</v>
      </c>
      <c r="J11" s="7" t="n">
        <v>4.999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2026-06-04T22:49:00Z</dcterms:created>
  <dcterms:modified xmlns:dcterms="http://purl.org/dc/terms/" xmlns:xsi="http://www.w3.org/2001/XMLSchema-instance" xsi:type="dcterms:W3CDTF">2026-06-04T22:49:00Z</dcterms:modified>
</cp:coreProperties>
</file>