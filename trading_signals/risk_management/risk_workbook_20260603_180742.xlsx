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Trend'!$A$4:$A$150</f>
            </numRef>
          </cat>
          <val>
            <numRef>
              <f>'NAV Trend'!$B$4:$B$150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2026-06-03  ·  Generated 2026-06-25T01:35:11  ·  Scope: MRPT+MTFS pairs book (model-based, broker-reconciled)</t>
        </is>
      </c>
    </row>
    <row r="4">
      <c r="A4" s="3" t="inlineStr">
        <is>
          <t>NAV (equity)</t>
        </is>
      </c>
      <c r="B4" s="4" t="n">
        <v>1108558.05</v>
      </c>
    </row>
    <row r="5">
      <c r="A5" s="3" t="inlineStr">
        <is>
          <t>Gross leverage (x)</t>
        </is>
      </c>
      <c r="B5" s="5" t="n">
        <v>4.616</v>
      </c>
    </row>
    <row r="6">
      <c r="A6" s="3" t="inlineStr">
        <is>
          <t>Net leverage (x)</t>
        </is>
      </c>
      <c r="B6" s="5" t="n">
        <v>2.84</v>
      </c>
    </row>
    <row r="7">
      <c r="A7" s="3" t="inlineStr">
        <is>
          <t>Net market beta (target≈0)</t>
        </is>
      </c>
      <c r="B7" s="5" t="n">
        <v>5.762</v>
      </c>
    </row>
    <row r="8">
      <c r="A8" s="3" t="inlineStr">
        <is>
          <t>VaR 95% 1-day ($)</t>
        </is>
      </c>
      <c r="B8" s="4" t="n">
        <v>111661.88</v>
      </c>
    </row>
    <row r="9">
      <c r="A9" s="3" t="inlineStr">
        <is>
          <t>VaR 95% 1-day (% NAV)</t>
        </is>
      </c>
      <c r="B9" s="5" t="n">
        <v>10.07</v>
      </c>
    </row>
    <row r="10">
      <c r="A10" s="3" t="inlineStr">
        <is>
          <t>Annual vol (% NAV)</t>
        </is>
      </c>
      <c r="B10" s="5" t="n">
        <v>97.2</v>
      </c>
    </row>
    <row r="11">
      <c r="A11" s="3" t="inlineStr">
        <is>
          <t>Sharpe (annual)</t>
        </is>
      </c>
      <c r="B11" s="5" t="n">
        <v>1.888</v>
      </c>
    </row>
    <row r="12">
      <c r="A12" s="3" t="inlineStr">
        <is>
          <t>PSR( SR&gt;0 )</t>
        </is>
      </c>
      <c r="B12" s="6" t="n">
        <v>0.9591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9.06 / 4.53</t>
        </is>
      </c>
    </row>
    <row r="15">
      <c r="A15" s="3" t="inlineStr">
        <is>
          <t>Actual gross leverage (x)</t>
        </is>
      </c>
      <c r="B15" s="5" t="n">
        <v>4.616</v>
      </c>
    </row>
    <row r="16">
      <c r="A16" s="3" t="inlineStr">
        <is>
          <t>Max single-name</t>
        </is>
      </c>
      <c r="B16" s="7" t="inlineStr">
        <is>
          <t>KLAC (208.95% NAV)</t>
        </is>
      </c>
    </row>
    <row r="17">
      <c r="A17" s="3" t="inlineStr">
        <is>
          <t>Max sector net (% gross)</t>
        </is>
      </c>
      <c r="B17" s="5" t="n">
        <v>58.85</v>
      </c>
    </row>
    <row r="18">
      <c r="A18" s="3" t="inlineStr">
        <is>
          <t>Open pairs</t>
        </is>
      </c>
      <c r="B18" s="5" t="n">
        <v>18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273783.06</v>
      </c>
    </row>
    <row r="6">
      <c r="A6" s="12" t="inlineStr">
        <is>
          <t>Restricted Cash 受限现金 (PB 102%)</t>
        </is>
      </c>
      <c r="B6" s="13" t="n">
        <v>1004176.17</v>
      </c>
      <c r="C6" s="13" t="n">
        <v>1350253.3</v>
      </c>
      <c r="D6" s="13" t="n">
        <v>1007658.6</v>
      </c>
      <c r="E6" s="13" t="n">
        <v>899695.63</v>
      </c>
    </row>
    <row r="7">
      <c r="A7" s="10" t="inlineStr">
        <is>
          <t>Long Securities 多头证券</t>
        </is>
      </c>
      <c r="B7" s="4" t="n">
        <v>4132432.86</v>
      </c>
      <c r="C7" s="4" t="n">
        <v>4228553.42</v>
      </c>
      <c r="D7" s="4" t="n">
        <v>4049891.36</v>
      </c>
      <c r="E7" s="4" t="n">
        <v>752511.91</v>
      </c>
    </row>
    <row r="8">
      <c r="A8" s="14" t="inlineStr">
        <is>
          <t>Total Assets 总资产</t>
        </is>
      </c>
      <c r="B8" s="13" t="n">
        <v>5136609.03</v>
      </c>
      <c r="C8" s="13" t="n">
        <v>5578806.73</v>
      </c>
      <c r="D8" s="13" t="n">
        <v>5057549.96</v>
      </c>
      <c r="E8" s="13" t="n">
        <v>1925990.6</v>
      </c>
    </row>
    <row r="9">
      <c r="A9" s="10" t="inlineStr">
        <is>
          <t>Short Securities 空头证券 (义务)</t>
        </is>
      </c>
      <c r="B9" s="4" t="n">
        <v>984486.4399999999</v>
      </c>
      <c r="C9" s="4" t="n">
        <v>1323777.75</v>
      </c>
      <c r="D9" s="4" t="n">
        <v>987900.59</v>
      </c>
      <c r="E9" s="4" t="n">
        <v>882054.54</v>
      </c>
    </row>
    <row r="10">
      <c r="A10" s="12" t="inlineStr">
        <is>
          <t>Margin Loan 保证金借款</t>
        </is>
      </c>
      <c r="B10" s="13" t="n">
        <v>3043564.54</v>
      </c>
      <c r="C10" s="13" t="n">
        <v>3155247.92</v>
      </c>
      <c r="D10" s="13" t="n">
        <v>3071848.7</v>
      </c>
      <c r="E10" s="15" t="n">
        <v>0</v>
      </c>
    </row>
    <row r="11">
      <c r="A11" s="16" t="inlineStr">
        <is>
          <t>Total Liabilities 总负债</t>
        </is>
      </c>
      <c r="B11" s="4" t="n">
        <v>4028050.98</v>
      </c>
      <c r="C11" s="4" t="n">
        <v>4479025.67</v>
      </c>
      <c r="D11" s="4" t="n">
        <v>4059749.29</v>
      </c>
      <c r="E11" s="4" t="n">
        <v>882054.54</v>
      </c>
    </row>
    <row r="12">
      <c r="A12" s="14" t="inlineStr">
        <is>
          <t>NAV (Equity) 净值 = TA - TL</t>
        </is>
      </c>
      <c r="B12" s="13" t="n">
        <v>1108558.05</v>
      </c>
      <c r="C12" s="13" t="n">
        <v>1099781.06</v>
      </c>
      <c r="D12" s="13" t="n">
        <v>997800.67</v>
      </c>
      <c r="E12" s="13" t="n">
        <v>1043936.06</v>
      </c>
    </row>
    <row r="13">
      <c r="A13" s="10" t="inlineStr">
        <is>
          <t>Gross Leverage 总杠杆 (x)</t>
        </is>
      </c>
      <c r="B13" s="7" t="n">
        <v>4.616</v>
      </c>
      <c r="C13" s="7" t="n">
        <v>5.049</v>
      </c>
      <c r="D13" s="7" t="n">
        <v>5.049</v>
      </c>
      <c r="E13" s="7" t="n">
        <v>1.566</v>
      </c>
    </row>
    <row r="14">
      <c r="A14" s="12" t="inlineStr">
        <is>
          <t>Net Leverage 净杠杆 (x)</t>
        </is>
      </c>
      <c r="B14" s="17" t="n">
        <v>2.84</v>
      </c>
      <c r="C14" s="17" t="n">
        <v>2.641</v>
      </c>
      <c r="D14" s="17" t="n">
        <v>3.069</v>
      </c>
      <c r="E14" s="17" t="n">
        <v>-0.124</v>
      </c>
    </row>
    <row r="15">
      <c r="A15" s="10" t="inlineStr">
        <is>
          <t>PM Requirement (20%)</t>
        </is>
      </c>
      <c r="B15" s="4" t="n">
        <v>1023383.86</v>
      </c>
      <c r="C15" s="4" t="n">
        <v>1110466.23</v>
      </c>
      <c r="D15" s="4" t="n">
        <v>1007558.39</v>
      </c>
      <c r="E15" s="4" t="n">
        <v>326913.29</v>
      </c>
    </row>
    <row r="16">
      <c r="A16" s="12" t="inlineStr">
        <is>
          <t>Excess Liquidity 超额流动性</t>
        </is>
      </c>
      <c r="B16" s="13" t="n">
        <v>85174.19</v>
      </c>
      <c r="C16" s="18" t="n">
        <v>-10685.17</v>
      </c>
      <c r="D16" s="18" t="n">
        <v>-9757.719999999999</v>
      </c>
      <c r="E16" s="13" t="n">
        <v>717022.77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1108558.05</v>
      </c>
      <c r="C21" s="4" t="n">
        <v>1099781.06</v>
      </c>
      <c r="D21" s="4" t="n">
        <v>997800.67</v>
      </c>
      <c r="E21" s="4" t="n">
        <v>752511.91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4132432.86</v>
      </c>
      <c r="C23" s="4" t="n">
        <v>4228553.42</v>
      </c>
      <c r="D23" s="4" t="n">
        <v>4049891.36</v>
      </c>
      <c r="E23" s="4" t="n">
        <v>752511.91</v>
      </c>
    </row>
    <row r="24">
      <c r="A24" s="12" t="inlineStr">
        <is>
          <t>Long Book — Margin Loan 融资</t>
        </is>
      </c>
      <c r="B24" s="13" t="n">
        <v>3023874.81</v>
      </c>
      <c r="C24" s="13" t="n">
        <v>3128772.36</v>
      </c>
      <c r="D24" s="13" t="n">
        <v>3052090.69</v>
      </c>
      <c r="E24" s="15" t="n">
        <v>0</v>
      </c>
    </row>
    <row r="25">
      <c r="A25" s="16" t="inlineStr">
        <is>
          <t>Long Book — NAV</t>
        </is>
      </c>
      <c r="B25" s="4" t="n">
        <v>1108558.05</v>
      </c>
      <c r="C25" s="4" t="n">
        <v>1099781.06</v>
      </c>
      <c r="D25" s="4" t="n">
        <v>997800.67</v>
      </c>
      <c r="E25" s="4" t="n">
        <v>752511.91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17641.09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17641.09</v>
      </c>
    </row>
    <row r="28">
      <c r="A28" s="12" t="inlineStr">
        <is>
          <t>Short Book — Short Proceeds 做空收入</t>
        </is>
      </c>
      <c r="B28" s="13" t="n">
        <v>984486.4399999999</v>
      </c>
      <c r="C28" s="13" t="n">
        <v>1323777.75</v>
      </c>
      <c r="D28" s="13" t="n">
        <v>987900.59</v>
      </c>
      <c r="E28" s="13" t="n">
        <v>882054.54</v>
      </c>
    </row>
    <row r="29">
      <c r="A29" s="10" t="inlineStr">
        <is>
          <t>Short Book — Market Value 市值(负债)</t>
        </is>
      </c>
      <c r="B29" s="4" t="n">
        <v>984486.4399999999</v>
      </c>
      <c r="C29" s="4" t="n">
        <v>1323777.75</v>
      </c>
      <c r="D29" s="4" t="n">
        <v>987900.59</v>
      </c>
      <c r="E29" s="4" t="n">
        <v>882054.54</v>
      </c>
    </row>
    <row r="30">
      <c r="A30" s="12" t="inlineStr">
        <is>
          <t>Short Book — Margin Loan 融资(2%)</t>
        </is>
      </c>
      <c r="B30" s="13" t="n">
        <v>19689.73</v>
      </c>
      <c r="C30" s="13" t="n">
        <v>26475.55</v>
      </c>
      <c r="D30" s="13" t="n">
        <v>19758.01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17641.09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5" t="n">
        <v>0</v>
      </c>
      <c r="E32" s="13" t="n">
        <v>273783.06</v>
      </c>
    </row>
    <row r="33">
      <c r="A33" s="16" t="inlineStr">
        <is>
          <t>Dual-View NAV 双账户法NAV</t>
        </is>
      </c>
      <c r="B33" s="4" t="n">
        <v>1108558.05</v>
      </c>
      <c r="C33" s="4" t="n">
        <v>1099781.06</v>
      </c>
      <c r="D33" s="4" t="n">
        <v>997800.67</v>
      </c>
      <c r="E33" s="4" t="n">
        <v>1043936.06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479548.34</v>
      </c>
      <c r="C39" s="4" t="n">
        <v>477734.47</v>
      </c>
      <c r="D39" s="4" t="n">
        <v>340169.4</v>
      </c>
      <c r="E39" s="4" t="n">
        <v>512488.7</v>
      </c>
    </row>
    <row r="40">
      <c r="A40" s="12" t="inlineStr">
        <is>
          <t>Restricted Cash 受限现金 (PB 102%)</t>
        </is>
      </c>
      <c r="B40" s="13" t="n">
        <v>85660.66</v>
      </c>
      <c r="C40" s="13" t="n">
        <v>86755.42999999999</v>
      </c>
      <c r="D40" s="13" t="n">
        <v>228513.46</v>
      </c>
      <c r="E40" s="13" t="n">
        <v>106730.81</v>
      </c>
    </row>
    <row r="41">
      <c r="A41" s="10" t="inlineStr">
        <is>
          <t>Long Securities 多头证券</t>
        </is>
      </c>
      <c r="B41" s="4" t="n">
        <v>95884.24000000001</v>
      </c>
      <c r="C41" s="4" t="n">
        <v>97052.74000000001</v>
      </c>
      <c r="D41" s="4" t="n">
        <v>221113.56</v>
      </c>
      <c r="E41" s="4" t="n">
        <v>102242.25</v>
      </c>
    </row>
    <row r="42">
      <c r="A42" s="14" t="inlineStr">
        <is>
          <t>Total Assets 总资产</t>
        </is>
      </c>
      <c r="B42" s="13" t="n">
        <v>661093.24</v>
      </c>
      <c r="C42" s="13" t="n">
        <v>661542.64</v>
      </c>
      <c r="D42" s="13" t="n">
        <v>789796.42</v>
      </c>
      <c r="E42" s="13" t="n">
        <v>721461.76</v>
      </c>
    </row>
    <row r="43">
      <c r="A43" s="10" t="inlineStr">
        <is>
          <t>Short Securities 空头证券 (义务)</t>
        </is>
      </c>
      <c r="B43" s="4" t="n">
        <v>83981.03999999999</v>
      </c>
      <c r="C43" s="4" t="n">
        <v>85054.34</v>
      </c>
      <c r="D43" s="4" t="n">
        <v>224032.8</v>
      </c>
      <c r="E43" s="4" t="n">
        <v>104638.05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83981.03999999999</v>
      </c>
      <c r="C45" s="4" t="n">
        <v>85054.34</v>
      </c>
      <c r="D45" s="4" t="n">
        <v>224032.8</v>
      </c>
      <c r="E45" s="4" t="n">
        <v>104638.05</v>
      </c>
    </row>
    <row r="46">
      <c r="A46" s="14" t="inlineStr">
        <is>
          <t>NAV (Equity) 净值 = TA - TL</t>
        </is>
      </c>
      <c r="B46" s="13" t="n">
        <v>577112.2</v>
      </c>
      <c r="C46" s="13" t="n">
        <v>576488.3</v>
      </c>
      <c r="D46" s="13" t="n">
        <v>565763.62</v>
      </c>
      <c r="E46" s="13" t="n">
        <v>616823.71</v>
      </c>
    </row>
    <row r="47">
      <c r="A47" s="10" t="inlineStr">
        <is>
          <t>Gross Leverage 总杠杆 (x)</t>
        </is>
      </c>
      <c r="B47" s="7" t="n">
        <v>0.312</v>
      </c>
      <c r="C47" s="7" t="n">
        <v>0.316</v>
      </c>
      <c r="D47" s="7" t="n">
        <v>0.787</v>
      </c>
      <c r="E47" s="7" t="n">
        <v>0.335</v>
      </c>
    </row>
    <row r="48">
      <c r="A48" s="12" t="inlineStr">
        <is>
          <t>Net Leverage 净杠杆 (x)</t>
        </is>
      </c>
      <c r="B48" s="17" t="n">
        <v>0.021</v>
      </c>
      <c r="C48" s="17" t="n">
        <v>0.021</v>
      </c>
      <c r="D48" s="17" t="n">
        <v>-0.005</v>
      </c>
      <c r="E48" s="17" t="n">
        <v>-0.004</v>
      </c>
    </row>
    <row r="49">
      <c r="A49" s="10" t="inlineStr">
        <is>
          <t>PM Requirement (20%)</t>
        </is>
      </c>
      <c r="B49" s="4" t="n">
        <v>35973.06</v>
      </c>
      <c r="C49" s="4" t="n">
        <v>36421.42</v>
      </c>
      <c r="D49" s="4" t="n">
        <v>89029.27</v>
      </c>
      <c r="E49" s="4" t="n">
        <v>41376.06</v>
      </c>
    </row>
    <row r="50">
      <c r="A50" s="12" t="inlineStr">
        <is>
          <t>Excess Liquidity 超额流动性</t>
        </is>
      </c>
      <c r="B50" s="13" t="n">
        <v>541139.14</v>
      </c>
      <c r="C50" s="13" t="n">
        <v>540066.88</v>
      </c>
      <c r="D50" s="13" t="n">
        <v>476734.35</v>
      </c>
      <c r="E50" s="13" t="n">
        <v>575447.65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95884.24000000001</v>
      </c>
      <c r="C55" s="4" t="n">
        <v>97052.74000000001</v>
      </c>
      <c r="D55" s="4" t="n">
        <v>221113.56</v>
      </c>
      <c r="E55" s="4" t="n">
        <v>102242.25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95884.24000000001</v>
      </c>
      <c r="C57" s="4" t="n">
        <v>97052.74000000001</v>
      </c>
      <c r="D57" s="4" t="n">
        <v>221113.56</v>
      </c>
      <c r="E57" s="4" t="n">
        <v>102242.25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95884.24000000001</v>
      </c>
      <c r="C59" s="4" t="n">
        <v>97052.74000000001</v>
      </c>
      <c r="D59" s="4" t="n">
        <v>221113.56</v>
      </c>
      <c r="E59" s="4" t="n">
        <v>102242.25</v>
      </c>
    </row>
    <row r="60">
      <c r="A60" s="12" t="inlineStr">
        <is>
          <t>Short Book — Allocated Capital 分配资本</t>
        </is>
      </c>
      <c r="B60" s="13" t="n">
        <v>1679.62</v>
      </c>
      <c r="C60" s="13" t="n">
        <v>1701.09</v>
      </c>
      <c r="D60" s="13" t="n">
        <v>4480.66</v>
      </c>
      <c r="E60" s="13" t="n">
        <v>2092.76</v>
      </c>
    </row>
    <row r="61">
      <c r="A61" s="10" t="inlineStr">
        <is>
          <t>Short Book — Collateral 担保金</t>
        </is>
      </c>
      <c r="B61" s="4" t="n">
        <v>1679.62</v>
      </c>
      <c r="C61" s="4" t="n">
        <v>1701.09</v>
      </c>
      <c r="D61" s="4" t="n">
        <v>4480.66</v>
      </c>
      <c r="E61" s="4" t="n">
        <v>2092.76</v>
      </c>
    </row>
    <row r="62">
      <c r="A62" s="12" t="inlineStr">
        <is>
          <t>Short Book — Short Proceeds 做空收入</t>
        </is>
      </c>
      <c r="B62" s="13" t="n">
        <v>83981.03999999999</v>
      </c>
      <c r="C62" s="13" t="n">
        <v>85054.34</v>
      </c>
      <c r="D62" s="13" t="n">
        <v>224032.8</v>
      </c>
      <c r="E62" s="13" t="n">
        <v>104638.05</v>
      </c>
    </row>
    <row r="63">
      <c r="A63" s="10" t="inlineStr">
        <is>
          <t>Short Book — Market Value 市值(负债)</t>
        </is>
      </c>
      <c r="B63" s="4" t="n">
        <v>83981.03999999999</v>
      </c>
      <c r="C63" s="4" t="n">
        <v>85054.34</v>
      </c>
      <c r="D63" s="4" t="n">
        <v>224032.8</v>
      </c>
      <c r="E63" s="4" t="n">
        <v>104638.05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1679.62</v>
      </c>
      <c r="C65" s="4" t="n">
        <v>1701.09</v>
      </c>
      <c r="D65" s="4" t="n">
        <v>4480.66</v>
      </c>
      <c r="E65" s="4" t="n">
        <v>2092.76</v>
      </c>
    </row>
    <row r="66">
      <c r="A66" s="12" t="inlineStr">
        <is>
          <t>Unallocated Cash 未分配现金</t>
        </is>
      </c>
      <c r="B66" s="13" t="n">
        <v>479548.34</v>
      </c>
      <c r="C66" s="13" t="n">
        <v>477734.47</v>
      </c>
      <c r="D66" s="13" t="n">
        <v>340169.4</v>
      </c>
      <c r="E66" s="13" t="n">
        <v>512488.7</v>
      </c>
    </row>
    <row r="67">
      <c r="A67" s="16" t="inlineStr">
        <is>
          <t>Dual-View NAV 双账户法NAV</t>
        </is>
      </c>
      <c r="B67" s="4" t="n">
        <v>577112.2</v>
      </c>
      <c r="C67" s="4" t="n">
        <v>576488.3</v>
      </c>
      <c r="D67" s="4" t="n">
        <v>565763.62</v>
      </c>
      <c r="E67" s="4" t="n">
        <v>616823.71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918515.51</v>
      </c>
      <c r="C74" s="13" t="n">
        <v>1263497.88</v>
      </c>
      <c r="D74" s="13" t="n">
        <v>779145.15</v>
      </c>
      <c r="E74" s="13" t="n">
        <v>792964.8199999999</v>
      </c>
    </row>
    <row r="75">
      <c r="A75" s="10" t="inlineStr">
        <is>
          <t>Long Securities 多头证券</t>
        </is>
      </c>
      <c r="B75" s="4" t="n">
        <v>4036548.62</v>
      </c>
      <c r="C75" s="4" t="n">
        <v>4131500.68</v>
      </c>
      <c r="D75" s="4" t="n">
        <v>3828777.8</v>
      </c>
      <c r="E75" s="4" t="n">
        <v>650269.66</v>
      </c>
    </row>
    <row r="76">
      <c r="A76" s="14" t="inlineStr">
        <is>
          <t>Total Assets 总资产</t>
        </is>
      </c>
      <c r="B76" s="13" t="n">
        <v>4955064.13</v>
      </c>
      <c r="C76" s="13" t="n">
        <v>5394998.56</v>
      </c>
      <c r="D76" s="13" t="n">
        <v>4607922.95</v>
      </c>
      <c r="E76" s="13" t="n">
        <v>1443234.48</v>
      </c>
    </row>
    <row r="77">
      <c r="A77" s="10" t="inlineStr">
        <is>
          <t>Short Securities 空头证券 (义务)</t>
        </is>
      </c>
      <c r="B77" s="4" t="n">
        <v>900505.4</v>
      </c>
      <c r="C77" s="4" t="n">
        <v>1238723.41</v>
      </c>
      <c r="D77" s="4" t="n">
        <v>763867.79</v>
      </c>
      <c r="E77" s="4" t="n">
        <v>777416.49</v>
      </c>
    </row>
    <row r="78">
      <c r="A78" s="12" t="inlineStr">
        <is>
          <t>Margin Loan 保证金借款</t>
        </is>
      </c>
      <c r="B78" s="13" t="n">
        <v>3523112.88</v>
      </c>
      <c r="C78" s="13" t="n">
        <v>3632982.4</v>
      </c>
      <c r="D78" s="13" t="n">
        <v>3412018.11</v>
      </c>
      <c r="E78" s="13" t="n">
        <v>238705.63</v>
      </c>
    </row>
    <row r="79">
      <c r="A79" s="16" t="inlineStr">
        <is>
          <t>Total Liabilities 总负债</t>
        </is>
      </c>
      <c r="B79" s="4" t="n">
        <v>4423618.28</v>
      </c>
      <c r="C79" s="4" t="n">
        <v>4871705.81</v>
      </c>
      <c r="D79" s="4" t="n">
        <v>4175885.9</v>
      </c>
      <c r="E79" s="4" t="n">
        <v>1016122.12</v>
      </c>
    </row>
    <row r="80">
      <c r="A80" s="14" t="inlineStr">
        <is>
          <t>NAV (Equity) 净值 = TA - TL</t>
        </is>
      </c>
      <c r="B80" s="13" t="n">
        <v>531445.85</v>
      </c>
      <c r="C80" s="13" t="n">
        <v>523292.75</v>
      </c>
      <c r="D80" s="13" t="n">
        <v>432037.05</v>
      </c>
      <c r="E80" s="13" t="n">
        <v>427112.36</v>
      </c>
    </row>
    <row r="81">
      <c r="A81" s="10" t="inlineStr">
        <is>
          <t>Gross Leverage 总杠杆 (x)</t>
        </is>
      </c>
      <c r="B81" s="7" t="n">
        <v>9.289999999999999</v>
      </c>
      <c r="C81" s="7" t="n">
        <v>10.262</v>
      </c>
      <c r="D81" s="7" t="n">
        <v>10.63</v>
      </c>
      <c r="E81" s="7" t="n">
        <v>3.343</v>
      </c>
    </row>
    <row r="82">
      <c r="A82" s="12" t="inlineStr">
        <is>
          <t>Net Leverage 净杠杆 (x)</t>
        </is>
      </c>
      <c r="B82" s="17" t="n">
        <v>5.901</v>
      </c>
      <c r="C82" s="17" t="n">
        <v>5.528</v>
      </c>
      <c r="D82" s="17" t="n">
        <v>7.094</v>
      </c>
      <c r="E82" s="17" t="n">
        <v>-0.298</v>
      </c>
    </row>
    <row r="83">
      <c r="A83" s="10" t="inlineStr">
        <is>
          <t>PM Requirement (20%)</t>
        </is>
      </c>
      <c r="B83" s="4" t="n">
        <v>987410.8</v>
      </c>
      <c r="C83" s="4" t="n">
        <v>1074044.82</v>
      </c>
      <c r="D83" s="4" t="n">
        <v>918529.12</v>
      </c>
      <c r="E83" s="4" t="n">
        <v>285537.23</v>
      </c>
    </row>
    <row r="84">
      <c r="A84" s="12" t="inlineStr">
        <is>
          <t>Excess Liquidity 超额流动性</t>
        </is>
      </c>
      <c r="B84" s="18" t="n">
        <v>-455964.95</v>
      </c>
      <c r="C84" s="18" t="n">
        <v>-550752.0699999999</v>
      </c>
      <c r="D84" s="18" t="n">
        <v>-486492.07</v>
      </c>
      <c r="E84" s="13" t="n">
        <v>141575.13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531445.85</v>
      </c>
      <c r="C89" s="4" t="n">
        <v>523292.75</v>
      </c>
      <c r="D89" s="4" t="n">
        <v>432037.05</v>
      </c>
      <c r="E89" s="4" t="n">
        <v>427112.36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4036548.62</v>
      </c>
      <c r="C91" s="4" t="n">
        <v>4131500.68</v>
      </c>
      <c r="D91" s="4" t="n">
        <v>3828777.8</v>
      </c>
      <c r="E91" s="4" t="n">
        <v>650269.66</v>
      </c>
    </row>
    <row r="92">
      <c r="A92" s="12" t="inlineStr">
        <is>
          <t>Long Book — Margin Loan 融资</t>
        </is>
      </c>
      <c r="B92" s="13" t="n">
        <v>3505102.77</v>
      </c>
      <c r="C92" s="13" t="n">
        <v>3608207.93</v>
      </c>
      <c r="D92" s="13" t="n">
        <v>3396740.75</v>
      </c>
      <c r="E92" s="13" t="n">
        <v>223157.3</v>
      </c>
    </row>
    <row r="93">
      <c r="A93" s="16" t="inlineStr">
        <is>
          <t>Long Book — NAV</t>
        </is>
      </c>
      <c r="B93" s="4" t="n">
        <v>531445.85</v>
      </c>
      <c r="C93" s="4" t="n">
        <v>523292.75</v>
      </c>
      <c r="D93" s="4" t="n">
        <v>432037.05</v>
      </c>
      <c r="E93" s="4" t="n">
        <v>427112.36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900505.4</v>
      </c>
      <c r="C96" s="13" t="n">
        <v>1238723.41</v>
      </c>
      <c r="D96" s="13" t="n">
        <v>763867.79</v>
      </c>
      <c r="E96" s="13" t="n">
        <v>777416.49</v>
      </c>
    </row>
    <row r="97">
      <c r="A97" s="10" t="inlineStr">
        <is>
          <t>Short Book — Market Value 市值(负债)</t>
        </is>
      </c>
      <c r="B97" s="4" t="n">
        <v>900505.4</v>
      </c>
      <c r="C97" s="4" t="n">
        <v>1238723.41</v>
      </c>
      <c r="D97" s="4" t="n">
        <v>763867.79</v>
      </c>
      <c r="E97" s="4" t="n">
        <v>777416.49</v>
      </c>
    </row>
    <row r="98">
      <c r="A98" s="12" t="inlineStr">
        <is>
          <t>Short Book — Margin Loan 融资(2%)</t>
        </is>
      </c>
      <c r="B98" s="13" t="n">
        <v>18010.11</v>
      </c>
      <c r="C98" s="13" t="n">
        <v>24774.47</v>
      </c>
      <c r="D98" s="13" t="n">
        <v>15277.36</v>
      </c>
      <c r="E98" s="13" t="n">
        <v>15548.33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531445.85</v>
      </c>
      <c r="C101" s="4" t="n">
        <v>523292.75</v>
      </c>
      <c r="D101" s="4" t="n">
        <v>432037.05</v>
      </c>
      <c r="E101" s="4" t="n">
        <v>427112.36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8776.99</v>
      </c>
      <c r="C5" s="4" t="n">
        <v>110757.38</v>
      </c>
      <c r="D5" s="4" t="n">
        <v>64621.99</v>
      </c>
      <c r="E5" s="4" t="n">
        <v>187059.26</v>
      </c>
    </row>
    <row r="6">
      <c r="A6" s="12" t="inlineStr">
        <is>
          <t>Interest expense (est)</t>
        </is>
      </c>
      <c r="B6" s="13" t="n">
        <v>416.93</v>
      </c>
      <c r="C6" s="13" t="n">
        <v>2084.63</v>
      </c>
      <c r="D6" s="13" t="n">
        <v>8755.459999999999</v>
      </c>
      <c r="E6" s="13" t="n">
        <v>61288.22</v>
      </c>
    </row>
    <row r="7">
      <c r="A7" s="10" t="inlineStr">
        <is>
          <t>Current unrealized PnL</t>
        </is>
      </c>
      <c r="B7" s="4" t="n">
        <v>2244625.43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623.9</v>
      </c>
      <c r="C11" s="4" t="n">
        <v>11348.58</v>
      </c>
      <c r="D11" s="19" t="n">
        <v>-39711.51</v>
      </c>
      <c r="E11" s="4" t="n">
        <v>67780.25999999999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13653.58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8153.1</v>
      </c>
      <c r="C17" s="4" t="n">
        <v>99408.8</v>
      </c>
      <c r="D17" s="4" t="n">
        <v>104333.49</v>
      </c>
      <c r="E17" s="4" t="n">
        <v>119279</v>
      </c>
    </row>
    <row r="18">
      <c r="A18" s="12" t="inlineStr">
        <is>
          <t>Interest expense (est)</t>
        </is>
      </c>
      <c r="B18" s="13" t="n">
        <v>482.62</v>
      </c>
      <c r="C18" s="13" t="n">
        <v>2413.09</v>
      </c>
      <c r="D18" s="13" t="n">
        <v>10134.98</v>
      </c>
      <c r="E18" s="13" t="n">
        <v>70944.88</v>
      </c>
    </row>
    <row r="19">
      <c r="A19" s="10" t="inlineStr">
        <is>
          <t>Current unrealized PnL</t>
        </is>
      </c>
      <c r="B19" s="4" t="n">
        <v>2230971.85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1099781.06</v>
      </c>
      <c r="C5" s="4" t="n">
        <v>997800.67</v>
      </c>
      <c r="D5" s="4" t="n">
        <v>1043936.06</v>
      </c>
      <c r="E5" s="4" t="n">
        <v>921498.79</v>
      </c>
    </row>
    <row r="6">
      <c r="A6" s="12" t="inlineStr">
        <is>
          <t>Net income</t>
        </is>
      </c>
      <c r="B6" s="13" t="n">
        <v>8776.99</v>
      </c>
      <c r="C6" s="13" t="n">
        <v>110757.38</v>
      </c>
      <c r="D6" s="13" t="n">
        <v>64621.99</v>
      </c>
      <c r="E6" s="13" t="n">
        <v>187059.26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1108558.05</v>
      </c>
      <c r="C9" s="4" t="n">
        <v>1108558.05</v>
      </c>
      <c r="D9" s="4" t="n">
        <v>1108558.05</v>
      </c>
      <c r="E9" s="4" t="n">
        <v>1108558.05</v>
      </c>
    </row>
    <row r="10">
      <c r="A10" s="12" t="inlineStr">
        <is>
          <t>Return (%)</t>
        </is>
      </c>
      <c r="B10" s="20" t="n">
        <v>0.8</v>
      </c>
      <c r="C10" s="20" t="n">
        <v>11.1</v>
      </c>
      <c r="D10" s="20" t="n">
        <v>6.19</v>
      </c>
      <c r="E10" s="20" t="n">
        <v>20.3</v>
      </c>
    </row>
    <row r="11">
      <c r="A11" s="10" t="inlineStr">
        <is>
          <t>Max drawdown (%)</t>
        </is>
      </c>
      <c r="B11" s="21" t="n">
        <v>0</v>
      </c>
      <c r="C11" s="22" t="n">
        <v>-0.86</v>
      </c>
      <c r="D11" s="22" t="n">
        <v>-5.24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576488.3</v>
      </c>
      <c r="C15" s="4" t="n">
        <v>565763.62</v>
      </c>
      <c r="D15" s="4" t="n">
        <v>616823.71</v>
      </c>
      <c r="E15" s="4" t="n">
        <v>509331.94</v>
      </c>
    </row>
    <row r="16">
      <c r="A16" s="12" t="inlineStr">
        <is>
          <t>Net income</t>
        </is>
      </c>
      <c r="B16" s="13" t="n">
        <v>623.9</v>
      </c>
      <c r="C16" s="13" t="n">
        <v>11348.58</v>
      </c>
      <c r="D16" s="18" t="n">
        <v>-39711.51</v>
      </c>
      <c r="E16" s="13" t="n">
        <v>67780.25999999999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577112.2</v>
      </c>
      <c r="C19" s="4" t="n">
        <v>577112.2</v>
      </c>
      <c r="D19" s="4" t="n">
        <v>577112.2</v>
      </c>
      <c r="E19" s="4" t="n">
        <v>577112.2</v>
      </c>
    </row>
    <row r="20">
      <c r="A20" s="12" t="inlineStr">
        <is>
          <t>Return (%)</t>
        </is>
      </c>
      <c r="B20" s="20" t="n">
        <v>0.11</v>
      </c>
      <c r="C20" s="20" t="n">
        <v>2.01</v>
      </c>
      <c r="D20" s="23" t="n">
        <v>-6.44</v>
      </c>
      <c r="E20" s="20" t="n">
        <v>13.31</v>
      </c>
    </row>
    <row r="21">
      <c r="A21" s="10" t="inlineStr">
        <is>
          <t>Max drawdown (%)</t>
        </is>
      </c>
      <c r="B21" s="21" t="n">
        <v>0</v>
      </c>
      <c r="C21" s="22" t="n">
        <v>-0.13</v>
      </c>
      <c r="D21" s="22" t="n">
        <v>-8.279999999999999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523292.75</v>
      </c>
      <c r="C25" s="4" t="n">
        <v>432037.05</v>
      </c>
      <c r="D25" s="4" t="n">
        <v>427112.36</v>
      </c>
      <c r="E25" s="4" t="n">
        <v>412166.85</v>
      </c>
    </row>
    <row r="26">
      <c r="A26" s="12" t="inlineStr">
        <is>
          <t>Net income</t>
        </is>
      </c>
      <c r="B26" s="13" t="n">
        <v>8153.1</v>
      </c>
      <c r="C26" s="13" t="n">
        <v>99408.8</v>
      </c>
      <c r="D26" s="13" t="n">
        <v>104333.49</v>
      </c>
      <c r="E26" s="13" t="n">
        <v>119279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531445.85</v>
      </c>
      <c r="C29" s="4" t="n">
        <v>531445.85</v>
      </c>
      <c r="D29" s="4" t="n">
        <v>531445.85</v>
      </c>
      <c r="E29" s="4" t="n">
        <v>531445.85</v>
      </c>
    </row>
    <row r="30">
      <c r="A30" s="12" t="inlineStr">
        <is>
          <t>Return (%)</t>
        </is>
      </c>
      <c r="B30" s="20" t="n">
        <v>1.56</v>
      </c>
      <c r="C30" s="20" t="n">
        <v>23.01</v>
      </c>
      <c r="D30" s="20" t="n">
        <v>24.43</v>
      </c>
      <c r="E30" s="20" t="n">
        <v>28.94</v>
      </c>
    </row>
    <row r="31">
      <c r="A31" s="10" t="inlineStr">
        <is>
          <t>Max drawdown (%)</t>
        </is>
      </c>
      <c r="B31" s="21" t="n">
        <v>0</v>
      </c>
      <c r="C31" s="22" t="n">
        <v>-3.95</v>
      </c>
      <c r="D31" s="22" t="n">
        <v>-7.46</v>
      </c>
      <c r="E31" s="22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110757.38</v>
      </c>
    </row>
    <row r="5">
      <c r="A5" s="3" t="inlineStr">
        <is>
          <t>Investing cash flow</t>
        </is>
      </c>
      <c r="B5" s="19" t="n">
        <v>-85955.64999999999</v>
      </c>
    </row>
    <row r="6">
      <c r="A6" s="3" t="inlineStr">
        <is>
          <t>Financing cash flow</t>
        </is>
      </c>
      <c r="B6" s="19" t="n">
        <v>-28284.16</v>
      </c>
    </row>
    <row r="7">
      <c r="A7" s="3" t="inlineStr">
        <is>
          <t>Net change in cash</t>
        </is>
      </c>
      <c r="B7" s="19" t="n">
        <v>-3482.43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1108558.05</v>
      </c>
      <c r="C4" s="4" t="n">
        <v>4132432.86</v>
      </c>
      <c r="D4" s="4" t="n">
        <v>984486.4399999999</v>
      </c>
      <c r="E4" s="4" t="n">
        <v>5116919.3</v>
      </c>
      <c r="F4" s="4" t="n">
        <v>3147946.42</v>
      </c>
      <c r="G4" s="5" t="n">
        <v>4.616</v>
      </c>
      <c r="H4" s="5" t="n">
        <v>2.84</v>
      </c>
      <c r="I4" s="5" t="n">
        <v>461.58</v>
      </c>
      <c r="J4" s="5" t="n">
        <v>230.79</v>
      </c>
      <c r="K4" s="24" t="n">
        <v>18</v>
      </c>
    </row>
    <row r="5">
      <c r="A5" s="12" t="inlineStr">
        <is>
          <t>MRPT</t>
        </is>
      </c>
      <c r="B5" s="13" t="n">
        <v>577112.2</v>
      </c>
      <c r="C5" s="13" t="n">
        <v>95884.24000000001</v>
      </c>
      <c r="D5" s="13" t="n">
        <v>83981.03999999999</v>
      </c>
      <c r="E5" s="13" t="n">
        <v>179865.28</v>
      </c>
      <c r="F5" s="13" t="n">
        <v>11903.2</v>
      </c>
      <c r="G5" s="25" t="n">
        <v>0.312</v>
      </c>
      <c r="H5" s="25" t="n">
        <v>0.021</v>
      </c>
      <c r="I5" s="25" t="n">
        <v>31.17</v>
      </c>
      <c r="J5" s="25" t="n">
        <v>15.58</v>
      </c>
      <c r="K5" s="26" t="n">
        <v>1</v>
      </c>
    </row>
    <row r="6">
      <c r="A6" s="10" t="inlineStr">
        <is>
          <t>MTFS</t>
        </is>
      </c>
      <c r="B6" s="4" t="n">
        <v>531445.85</v>
      </c>
      <c r="C6" s="4" t="n">
        <v>4036548.62</v>
      </c>
      <c r="D6" s="4" t="n">
        <v>900505.4</v>
      </c>
      <c r="E6" s="4" t="n">
        <v>4937054.02</v>
      </c>
      <c r="F6" s="4" t="n">
        <v>3136043.22</v>
      </c>
      <c r="G6" s="5" t="n">
        <v>9.289999999999999</v>
      </c>
      <c r="H6" s="5" t="n">
        <v>5.901</v>
      </c>
      <c r="I6" s="5" t="n">
        <v>928.99</v>
      </c>
      <c r="J6" s="5" t="n">
        <v>464.49</v>
      </c>
      <c r="K6" s="24" t="n">
        <v>17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HHI=0.1345  ·  effective N pairs=7.4  ·  max pair=28.1%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2316369.9</v>
      </c>
      <c r="C6" s="4" t="n">
        <v>2316369.9</v>
      </c>
      <c r="D6" s="21" t="n">
        <v>208.95</v>
      </c>
      <c r="E6" s="21" t="n">
        <v>45.27</v>
      </c>
      <c r="F6" s="24" t="n">
        <v>2</v>
      </c>
    </row>
    <row r="7">
      <c r="A7" s="12" t="inlineStr">
        <is>
          <t>BWA</t>
        </is>
      </c>
      <c r="B7" s="13" t="n">
        <v>361162.9</v>
      </c>
      <c r="C7" s="13" t="n">
        <v>361162.9</v>
      </c>
      <c r="D7" s="20" t="n">
        <v>32.58</v>
      </c>
      <c r="E7" s="20" t="n">
        <v>7.06</v>
      </c>
      <c r="F7" s="26" t="n">
        <v>2</v>
      </c>
    </row>
    <row r="8">
      <c r="A8" s="10" t="inlineStr">
        <is>
          <t>LRCX</t>
        </is>
      </c>
      <c r="B8" s="4" t="n">
        <v>296278.02</v>
      </c>
      <c r="C8" s="4" t="n">
        <v>296278.02</v>
      </c>
      <c r="D8" s="21" t="n">
        <v>26.73</v>
      </c>
      <c r="E8" s="21" t="n">
        <v>5.79</v>
      </c>
      <c r="F8" s="24" t="n">
        <v>2</v>
      </c>
    </row>
    <row r="9">
      <c r="A9" s="12" t="inlineStr">
        <is>
          <t>STLD</t>
        </is>
      </c>
      <c r="B9" s="13" t="n">
        <v>276230.52</v>
      </c>
      <c r="C9" s="13" t="n">
        <v>276230.52</v>
      </c>
      <c r="D9" s="20" t="n">
        <v>24.92</v>
      </c>
      <c r="E9" s="20" t="n">
        <v>5.4</v>
      </c>
      <c r="F9" s="26" t="n">
        <v>2</v>
      </c>
    </row>
    <row r="10">
      <c r="A10" s="10" t="inlineStr">
        <is>
          <t>CSCO</t>
        </is>
      </c>
      <c r="B10" s="4" t="n">
        <v>230736</v>
      </c>
      <c r="C10" s="4" t="n">
        <v>230736</v>
      </c>
      <c r="D10" s="21" t="n">
        <v>20.81</v>
      </c>
      <c r="E10" s="21" t="n">
        <v>4.51</v>
      </c>
      <c r="F10" s="24" t="n">
        <v>2</v>
      </c>
    </row>
    <row r="11">
      <c r="A11" s="12" t="inlineStr">
        <is>
          <t>FFIV</t>
        </is>
      </c>
      <c r="B11" s="13" t="n">
        <v>172811.16</v>
      </c>
      <c r="C11" s="13" t="n">
        <v>172811.16</v>
      </c>
      <c r="D11" s="20" t="n">
        <v>15.59</v>
      </c>
      <c r="E11" s="20" t="n">
        <v>3.38</v>
      </c>
      <c r="F11" s="26" t="n">
        <v>1</v>
      </c>
    </row>
    <row r="12">
      <c r="A12" s="10" t="inlineStr">
        <is>
          <t>NUE</t>
        </is>
      </c>
      <c r="B12" s="4" t="n">
        <v>169586.34</v>
      </c>
      <c r="C12" s="4" t="n">
        <v>169586.34</v>
      </c>
      <c r="D12" s="21" t="n">
        <v>15.3</v>
      </c>
      <c r="E12" s="21" t="n">
        <v>3.31</v>
      </c>
      <c r="F12" s="24" t="n">
        <v>2</v>
      </c>
    </row>
    <row r="13">
      <c r="A13" s="12" t="inlineStr">
        <is>
          <t>VLTO</t>
        </is>
      </c>
      <c r="B13" s="13" t="n">
        <v>137673.42</v>
      </c>
      <c r="C13" s="18" t="n">
        <v>-137673.42</v>
      </c>
      <c r="D13" s="20" t="n">
        <v>12.42</v>
      </c>
      <c r="E13" s="20" t="n">
        <v>2.69</v>
      </c>
      <c r="F13" s="26" t="n">
        <v>2</v>
      </c>
    </row>
    <row r="14">
      <c r="A14" s="10" t="inlineStr">
        <is>
          <t>LOW</t>
        </is>
      </c>
      <c r="B14" s="4" t="n">
        <v>132480.7</v>
      </c>
      <c r="C14" s="19" t="n">
        <v>-132480.7</v>
      </c>
      <c r="D14" s="21" t="n">
        <v>11.95</v>
      </c>
      <c r="E14" s="21" t="n">
        <v>2.59</v>
      </c>
      <c r="F14" s="24" t="n">
        <v>2</v>
      </c>
    </row>
    <row r="15">
      <c r="A15" s="12" t="inlineStr">
        <is>
          <t>MKTX</t>
        </is>
      </c>
      <c r="B15" s="13" t="n">
        <v>100597.64</v>
      </c>
      <c r="C15" s="18" t="n">
        <v>-100597.64</v>
      </c>
      <c r="D15" s="20" t="n">
        <v>9.07</v>
      </c>
      <c r="E15" s="20" t="n">
        <v>1.97</v>
      </c>
      <c r="F15" s="26" t="n">
        <v>2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3137505.46</v>
      </c>
      <c r="C20" s="4" t="n">
        <v>126135.72</v>
      </c>
      <c r="D20" s="4" t="n">
        <v>3011369.74</v>
      </c>
      <c r="E20" s="7" t="n">
        <v>58.85</v>
      </c>
    </row>
    <row r="21">
      <c r="A21" s="12" t="inlineStr">
        <is>
          <t>materials</t>
        </is>
      </c>
      <c r="B21" s="13" t="n">
        <v>445816.86</v>
      </c>
      <c r="C21" s="15" t="n">
        <v>0</v>
      </c>
      <c r="D21" s="13" t="n">
        <v>445816.86</v>
      </c>
      <c r="E21" s="17" t="n">
        <v>8.710000000000001</v>
      </c>
    </row>
    <row r="22">
      <c r="A22" s="10" t="inlineStr">
        <is>
          <t>health</t>
        </is>
      </c>
      <c r="B22" s="4" t="n">
        <v>95884.24000000001</v>
      </c>
      <c r="C22" s="4" t="n">
        <v>521929.89</v>
      </c>
      <c r="D22" s="19" t="n">
        <v>-426045.65</v>
      </c>
      <c r="E22" s="7" t="n">
        <v>-8.33</v>
      </c>
    </row>
    <row r="23">
      <c r="A23" s="12" t="inlineStr">
        <is>
          <t>industrial</t>
        </is>
      </c>
      <c r="B23" s="13" t="n">
        <v>453226.3</v>
      </c>
      <c r="C23" s="13" t="n">
        <v>51182.12</v>
      </c>
      <c r="D23" s="13" t="n">
        <v>402044.18</v>
      </c>
      <c r="E23" s="17" t="n">
        <v>7.86</v>
      </c>
    </row>
    <row r="24">
      <c r="A24" s="10" t="inlineStr">
        <is>
          <t>food</t>
        </is>
      </c>
      <c r="B24" s="11" t="n">
        <v>0</v>
      </c>
      <c r="C24" s="4" t="n">
        <v>184524.16</v>
      </c>
      <c r="D24" s="19" t="n">
        <v>-184524.16</v>
      </c>
      <c r="E24" s="7" t="n">
        <v>-3.61</v>
      </c>
    </row>
    <row r="25">
      <c r="A25" s="12" t="inlineStr">
        <is>
          <t>finance</t>
        </is>
      </c>
      <c r="B25" s="15" t="n">
        <v>0</v>
      </c>
      <c r="C25" s="13" t="n">
        <v>100714.55</v>
      </c>
      <c r="D25" s="18" t="n">
        <v>-100714.55</v>
      </c>
      <c r="E25" s="17" t="n">
        <v>-1.97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5.762</v>
      </c>
    </row>
    <row r="4">
      <c r="A4" s="3" t="inlineStr">
        <is>
          <t>Gross beta</t>
        </is>
      </c>
      <c r="B4" s="5" t="n">
        <v>6.687</v>
      </c>
    </row>
    <row r="5">
      <c r="A5" s="3" t="inlineStr">
        <is>
          <t>Momentum factor net (% NAV)</t>
        </is>
      </c>
      <c r="B5" s="5" t="n">
        <v>282.89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1" t="n">
        <v>58.85</v>
      </c>
    </row>
    <row r="11">
      <c r="A11" s="12" t="inlineStr">
        <is>
          <t>materials</t>
        </is>
      </c>
      <c r="B11" s="20" t="n">
        <v>8.710000000000001</v>
      </c>
    </row>
    <row r="12">
      <c r="A12" s="10" t="inlineStr">
        <is>
          <t>health</t>
        </is>
      </c>
      <c r="B12" s="22" t="n">
        <v>-8.33</v>
      </c>
    </row>
    <row r="13">
      <c r="A13" s="12" t="inlineStr">
        <is>
          <t>industrial</t>
        </is>
      </c>
      <c r="B13" s="20" t="n">
        <v>7.86</v>
      </c>
    </row>
    <row r="14">
      <c r="A14" s="10" t="inlineStr">
        <is>
          <t>food</t>
        </is>
      </c>
      <c r="B14" s="22" t="n">
        <v>-3.61</v>
      </c>
    </row>
    <row r="15">
      <c r="A15" s="12" t="inlineStr">
        <is>
          <t>finance</t>
        </is>
      </c>
      <c r="B15" s="23" t="n">
        <v>-1.97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111661.88</v>
      </c>
    </row>
    <row r="4">
      <c r="A4" s="3" t="inlineStr">
        <is>
          <t>Parametric VaR 99% 1d ($)</t>
        </is>
      </c>
      <c r="B4" s="4" t="n">
        <v>157887.86</v>
      </c>
    </row>
    <row r="5">
      <c r="A5" s="3" t="inlineStr">
        <is>
          <t>Annual vol ($)</t>
        </is>
      </c>
      <c r="B5" s="4" t="n">
        <v>1077554.62</v>
      </c>
    </row>
    <row r="6">
      <c r="A6" s="3" t="inlineStr">
        <is>
          <t>Annual vol (% NAV)</t>
        </is>
      </c>
      <c r="B6" s="5" t="n">
        <v>97.2</v>
      </c>
    </row>
    <row r="7">
      <c r="A7" s="3" t="inlineStr">
        <is>
          <t>Historical VaR 95% 1d ($)</t>
        </is>
      </c>
      <c r="B7" s="4" t="n">
        <v>81798.92</v>
      </c>
    </row>
    <row r="8">
      <c r="A8" s="3" t="inlineStr">
        <is>
          <t>Historical CVaR 95% 1d ($)</t>
        </is>
      </c>
      <c r="B8" s="4" t="n">
        <v>97861.73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53536.23</v>
      </c>
      <c r="C12" s="7" t="n">
        <v>47.94</v>
      </c>
    </row>
    <row r="13">
      <c r="A13" s="12" t="inlineStr">
        <is>
          <t>KLAC/LOW</t>
        </is>
      </c>
      <c r="B13" s="13" t="n">
        <v>32953.32</v>
      </c>
      <c r="C13" s="17" t="n">
        <v>29.51</v>
      </c>
    </row>
    <row r="14">
      <c r="A14" s="10" t="inlineStr">
        <is>
          <t>LRCX/BSX</t>
        </is>
      </c>
      <c r="B14" s="4" t="n">
        <v>5801.84</v>
      </c>
      <c r="C14" s="7" t="n">
        <v>5.2</v>
      </c>
    </row>
    <row r="15">
      <c r="A15" s="12" t="inlineStr">
        <is>
          <t>LRCX/RMD</t>
        </is>
      </c>
      <c r="B15" s="13" t="n">
        <v>4958.97</v>
      </c>
      <c r="C15" s="17" t="n">
        <v>4.44</v>
      </c>
    </row>
    <row r="16">
      <c r="A16" s="10" t="inlineStr">
        <is>
          <t>STLD/HII</t>
        </is>
      </c>
      <c r="B16" s="4" t="n">
        <v>2016.79</v>
      </c>
      <c r="C16" s="7" t="n">
        <v>1.81</v>
      </c>
    </row>
    <row r="17">
      <c r="A17" s="12" t="inlineStr">
        <is>
          <t>STLD/ISRG</t>
        </is>
      </c>
      <c r="B17" s="13" t="n">
        <v>1909.68</v>
      </c>
      <c r="C17" s="17" t="n">
        <v>1.71</v>
      </c>
    </row>
    <row r="18">
      <c r="A18" s="10" t="inlineStr">
        <is>
          <t>NUE/INTU</t>
        </is>
      </c>
      <c r="B18" s="4" t="n">
        <v>1566.85</v>
      </c>
      <c r="C18" s="7" t="n">
        <v>1.4</v>
      </c>
    </row>
    <row r="19">
      <c r="A19" s="12" t="inlineStr">
        <is>
          <t>BWA/CME</t>
        </is>
      </c>
      <c r="B19" s="13" t="n">
        <v>1539.34</v>
      </c>
      <c r="C19" s="17" t="n">
        <v>1.38</v>
      </c>
    </row>
    <row r="20">
      <c r="A20" s="10" t="inlineStr">
        <is>
          <t>NUE/MKTX</t>
        </is>
      </c>
      <c r="B20" s="4" t="n">
        <v>1535.35</v>
      </c>
      <c r="C20" s="7" t="n">
        <v>1.38</v>
      </c>
    </row>
    <row r="21">
      <c r="A21" s="12" t="inlineStr">
        <is>
          <t>ODFL/MKTX</t>
        </is>
      </c>
      <c r="B21" s="13" t="n">
        <v>1399.55</v>
      </c>
      <c r="C21" s="17" t="n">
        <v>1.25</v>
      </c>
    </row>
    <row r="22">
      <c r="A22" s="10" t="inlineStr">
        <is>
          <t>CSCO/CAG</t>
        </is>
      </c>
      <c r="B22" s="4" t="n">
        <v>1365.52</v>
      </c>
      <c r="C22" s="7" t="n">
        <v>1.22</v>
      </c>
    </row>
    <row r="23">
      <c r="A23" s="12" t="inlineStr">
        <is>
          <t>FFIV/VLTO</t>
        </is>
      </c>
      <c r="B23" s="13" t="n">
        <v>1087.79</v>
      </c>
      <c r="C23" s="17" t="n">
        <v>0.97</v>
      </c>
    </row>
    <row r="24">
      <c r="A24" s="10" t="inlineStr">
        <is>
          <t>CI/MTD</t>
        </is>
      </c>
      <c r="B24" s="4" t="n">
        <v>646.25</v>
      </c>
      <c r="C24" s="7" t="n">
        <v>0.58</v>
      </c>
    </row>
    <row r="25">
      <c r="A25" s="12" t="inlineStr">
        <is>
          <t>BWA/VLTO</t>
        </is>
      </c>
      <c r="B25" s="13" t="n">
        <v>502.56</v>
      </c>
      <c r="C25" s="17" t="n">
        <v>0.45</v>
      </c>
    </row>
    <row r="26">
      <c r="A26" s="10" t="inlineStr">
        <is>
          <t>CSCO/REGN</t>
        </is>
      </c>
      <c r="B26" s="4" t="n">
        <v>475.25</v>
      </c>
      <c r="C26" s="7" t="n">
        <v>0.43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CI</t>
        </is>
      </c>
      <c r="B6" s="7" t="inlineStr">
        <is>
          <t>CI/MTD</t>
        </is>
      </c>
      <c r="C6" s="4" t="n">
        <v>312</v>
      </c>
      <c r="D6" s="4" t="n">
        <v>1641677</v>
      </c>
      <c r="E6" s="7" t="n">
        <v>0</v>
      </c>
    </row>
    <row r="7">
      <c r="A7" s="12" t="inlineStr">
        <is>
          <t>MTD</t>
        </is>
      </c>
      <c r="B7" s="17" t="inlineStr">
        <is>
          <t>CI/MTD</t>
        </is>
      </c>
      <c r="C7" s="15" t="n">
        <v>82</v>
      </c>
      <c r="D7" s="13" t="n">
        <v>221093</v>
      </c>
      <c r="E7" s="17" t="n">
        <v>0</v>
      </c>
    </row>
    <row r="8">
      <c r="A8" s="10" t="inlineStr">
        <is>
          <t>ODFL</t>
        </is>
      </c>
      <c r="B8" s="7" t="inlineStr">
        <is>
          <t>ODFL/MKTX</t>
        </is>
      </c>
      <c r="C8" s="4" t="n">
        <v>262</v>
      </c>
      <c r="D8" s="4" t="n">
        <v>1848126</v>
      </c>
      <c r="E8" s="7" t="n">
        <v>0</v>
      </c>
    </row>
    <row r="9">
      <c r="A9" s="12" t="inlineStr">
        <is>
          <t>MKTX</t>
        </is>
      </c>
      <c r="B9" s="17" t="inlineStr">
        <is>
          <t>ODFL/MKTX</t>
        </is>
      </c>
      <c r="C9" s="13" t="n">
        <v>396</v>
      </c>
      <c r="D9" s="13" t="n">
        <v>655942</v>
      </c>
      <c r="E9" s="17" t="n">
        <v>0</v>
      </c>
    </row>
    <row r="10">
      <c r="A10" s="10" t="inlineStr">
        <is>
          <t>ODFL</t>
        </is>
      </c>
      <c r="B10" s="7" t="inlineStr">
        <is>
          <t>ODFL/JKHY</t>
        </is>
      </c>
      <c r="C10" s="4" t="n">
        <v>128</v>
      </c>
      <c r="D10" s="4" t="n">
        <v>1848126</v>
      </c>
      <c r="E10" s="7" t="n">
        <v>0</v>
      </c>
    </row>
    <row r="11">
      <c r="A11" s="12" t="inlineStr">
        <is>
          <t>JKHY</t>
        </is>
      </c>
      <c r="B11" s="17" t="inlineStr">
        <is>
          <t>ODFL/JKHY</t>
        </is>
      </c>
      <c r="C11" s="13" t="n">
        <v>191</v>
      </c>
      <c r="D11" s="13" t="n">
        <v>1445656</v>
      </c>
      <c r="E11" s="17" t="n">
        <v>0</v>
      </c>
    </row>
    <row r="12">
      <c r="A12" s="10" t="inlineStr">
        <is>
          <t>KLAC</t>
        </is>
      </c>
      <c r="B12" s="7" t="inlineStr">
        <is>
          <t>KLAC/REGN</t>
        </is>
      </c>
      <c r="C12" s="4" t="n">
        <v>670</v>
      </c>
      <c r="D12" s="4" t="n">
        <v>1015148</v>
      </c>
      <c r="E12" s="7" t="n">
        <v>0</v>
      </c>
    </row>
    <row r="13">
      <c r="A13" s="12" t="inlineStr">
        <is>
          <t>REGN</t>
        </is>
      </c>
      <c r="B13" s="17" t="inlineStr">
        <is>
          <t>KLAC/REGN</t>
        </is>
      </c>
      <c r="C13" s="15" t="n">
        <v>23</v>
      </c>
      <c r="D13" s="13" t="n">
        <v>1013604</v>
      </c>
      <c r="E13" s="17" t="n">
        <v>0</v>
      </c>
    </row>
    <row r="14">
      <c r="A14" s="10" t="inlineStr">
        <is>
          <t>PANW</t>
        </is>
      </c>
      <c r="B14" s="7" t="inlineStr">
        <is>
          <t>PANW/IQV</t>
        </is>
      </c>
      <c r="C14" s="4" t="n">
        <v>233</v>
      </c>
      <c r="D14" s="4" t="n">
        <v>10177295</v>
      </c>
      <c r="E14" s="7" t="n">
        <v>0</v>
      </c>
    </row>
    <row r="15">
      <c r="A15" s="12" t="inlineStr">
        <is>
          <t>IQV</t>
        </is>
      </c>
      <c r="B15" s="17" t="inlineStr">
        <is>
          <t>PANW/IQV</t>
        </is>
      </c>
      <c r="C15" s="13" t="n">
        <v>350</v>
      </c>
      <c r="D15" s="13" t="n">
        <v>1843070</v>
      </c>
      <c r="E15" s="17" t="n">
        <v>0</v>
      </c>
    </row>
    <row r="16">
      <c r="A16" s="10" t="inlineStr">
        <is>
          <t>KLAC</t>
        </is>
      </c>
      <c r="B16" s="7" t="inlineStr">
        <is>
          <t>KLAC/LOW</t>
        </is>
      </c>
      <c r="C16" s="4" t="n">
        <v>420</v>
      </c>
      <c r="D16" s="4" t="n">
        <v>1015148</v>
      </c>
      <c r="E16" s="7" t="n">
        <v>0</v>
      </c>
    </row>
    <row r="17">
      <c r="A17" s="12" t="inlineStr">
        <is>
          <t>LOW</t>
        </is>
      </c>
      <c r="B17" s="17" t="inlineStr">
        <is>
          <t>KLAC/LOW</t>
        </is>
      </c>
      <c r="C17" s="13" t="n">
        <v>382</v>
      </c>
      <c r="D17" s="13" t="n">
        <v>3117460</v>
      </c>
      <c r="E17" s="17" t="n">
        <v>0</v>
      </c>
    </row>
    <row r="18">
      <c r="A18" s="10" t="inlineStr">
        <is>
          <t>FFIV</t>
        </is>
      </c>
      <c r="B18" s="7" t="inlineStr">
        <is>
          <t>FFIV/VLTO</t>
        </is>
      </c>
      <c r="C18" s="4" t="n">
        <v>426</v>
      </c>
      <c r="D18" s="4" t="n">
        <v>751751</v>
      </c>
      <c r="E18" s="7" t="n">
        <v>0</v>
      </c>
    </row>
    <row r="19">
      <c r="A19" s="12" t="inlineStr">
        <is>
          <t>VLTO</t>
        </is>
      </c>
      <c r="B19" s="17" t="inlineStr">
        <is>
          <t>FFIV/VLTO</t>
        </is>
      </c>
      <c r="C19" s="13" t="n">
        <v>665</v>
      </c>
      <c r="D19" s="13" t="n">
        <v>2459103</v>
      </c>
      <c r="E19" s="17" t="n">
        <v>0</v>
      </c>
    </row>
    <row r="20">
      <c r="A20" s="10" t="inlineStr">
        <is>
          <t>LRCX</t>
        </is>
      </c>
      <c r="B20" s="7" t="inlineStr">
        <is>
          <t>LRCX/BSX</t>
        </is>
      </c>
      <c r="C20" s="4" t="n">
        <v>431</v>
      </c>
      <c r="D20" s="4" t="n">
        <v>9020600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-319375.57</v>
      </c>
      <c r="C4" s="22" t="n">
        <v>-28.81</v>
      </c>
    </row>
    <row r="5">
      <c r="A5" s="12" t="inlineStr">
        <is>
          <t>SPY -10%</t>
        </is>
      </c>
      <c r="B5" s="18" t="n">
        <v>-638751.15</v>
      </c>
      <c r="C5" s="23" t="n">
        <v>-57.62</v>
      </c>
    </row>
    <row r="6">
      <c r="A6" s="10" t="inlineStr">
        <is>
          <t>VIX +10pt</t>
        </is>
      </c>
      <c r="B6" s="19" t="n">
        <v>-319375.57</v>
      </c>
      <c r="C6" s="22" t="n">
        <v>-28.81</v>
      </c>
    </row>
    <row r="7">
      <c r="A7" s="12" t="inlineStr">
        <is>
          <t>Top sector -10%</t>
        </is>
      </c>
      <c r="B7" s="18" t="n">
        <v>-301136.97</v>
      </c>
      <c r="C7" s="23" t="n">
        <v>-27.16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0.31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0.02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9.289999999999999</v>
      </c>
      <c r="D6" s="32" t="n">
        <v>3</v>
      </c>
      <c r="E6" s="32" t="n">
        <v>4</v>
      </c>
      <c r="F6" s="32" t="inlineStr">
        <is>
          <t>red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5.9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208.95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BWA</t>
        </is>
      </c>
      <c r="C9" s="32" t="n">
        <v>32.58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1" t="inlineStr">
        <is>
          <t>single_name_gross</t>
        </is>
      </c>
      <c r="B10" s="32" t="inlineStr">
        <is>
          <t>LRCX</t>
        </is>
      </c>
      <c r="C10" s="32" t="n">
        <v>26.73</v>
      </c>
      <c r="D10" s="32" t="n">
        <v>15</v>
      </c>
      <c r="E10" s="32" t="n">
        <v>25</v>
      </c>
      <c r="F10" s="32" t="inlineStr">
        <is>
          <t>red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58.85</v>
      </c>
      <c r="D11" s="32" t="n">
        <v>30</v>
      </c>
      <c r="E11" s="32" t="n">
        <v>50</v>
      </c>
      <c r="F11" s="32" t="inlineStr">
        <is>
          <t>red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28.1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5.76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10.07</v>
      </c>
      <c r="D14" s="32" t="n">
        <v>3</v>
      </c>
      <c r="E14" s="32" t="n">
        <v>5</v>
      </c>
      <c r="F14" s="32" t="inlineStr">
        <is>
          <t>red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17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6" t="n">
        <v>-312</v>
      </c>
      <c r="F4" s="13" t="n">
        <v>269.17</v>
      </c>
      <c r="G4" s="18" t="n">
        <v>-83981.03999999999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4" t="n">
        <v>82</v>
      </c>
      <c r="F5" s="4" t="n">
        <v>1169.32</v>
      </c>
      <c r="G5" s="4" t="n">
        <v>95884.24000000001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ODFL/MKTX</t>
        </is>
      </c>
      <c r="C6" s="17" t="inlineStr">
        <is>
          <t>ODFL</t>
        </is>
      </c>
      <c r="D6" s="17" t="inlineStr">
        <is>
          <t>long</t>
        </is>
      </c>
      <c r="E6" s="26" t="n">
        <v>262</v>
      </c>
      <c r="F6" s="13" t="n">
        <v>236.06</v>
      </c>
      <c r="G6" s="13" t="n">
        <v>61847.72</v>
      </c>
      <c r="H6" s="17" t="inlineStr">
        <is>
          <t>industrial</t>
        </is>
      </c>
      <c r="I6" s="17" t="n">
        <v>0</v>
      </c>
      <c r="J6" s="17" t="inlineStr">
        <is>
          <t>sensitive_reversal</t>
        </is>
      </c>
    </row>
    <row r="7">
      <c r="A7" s="10" t="inlineStr">
        <is>
          <t>MTFS</t>
        </is>
      </c>
      <c r="B7" s="7" t="inlineStr">
        <is>
          <t>ODFL/MKTX</t>
        </is>
      </c>
      <c r="C7" s="7" t="inlineStr">
        <is>
          <t>MKTX</t>
        </is>
      </c>
      <c r="D7" s="7" t="inlineStr">
        <is>
          <t>short</t>
        </is>
      </c>
      <c r="E7" s="24" t="n">
        <v>-396</v>
      </c>
      <c r="F7" s="4" t="n">
        <v>122.98</v>
      </c>
      <c r="G7" s="19" t="n">
        <v>-48700.08</v>
      </c>
      <c r="H7" s="7" t="inlineStr">
        <is>
          <t>tech</t>
        </is>
      </c>
      <c r="I7" s="7" t="n">
        <v>0</v>
      </c>
      <c r="J7" s="7" t="inlineStr">
        <is>
          <t>sensitive_reversal</t>
        </is>
      </c>
    </row>
    <row r="8">
      <c r="A8" s="12" t="inlineStr">
        <is>
          <t>MTFS</t>
        </is>
      </c>
      <c r="B8" s="17" t="inlineStr">
        <is>
          <t>ODFL/JKHY</t>
        </is>
      </c>
      <c r="C8" s="17" t="inlineStr">
        <is>
          <t>ODFL</t>
        </is>
      </c>
      <c r="D8" s="17" t="inlineStr">
        <is>
          <t>long</t>
        </is>
      </c>
      <c r="E8" s="26" t="n">
        <v>128</v>
      </c>
      <c r="F8" s="13" t="n">
        <v>236.06</v>
      </c>
      <c r="G8" s="13" t="n">
        <v>30215.68</v>
      </c>
      <c r="H8" s="17" t="inlineStr">
        <is>
          <t>industrial</t>
        </is>
      </c>
      <c r="I8" s="17" t="n">
        <v>0</v>
      </c>
      <c r="J8" s="17" t="inlineStr">
        <is>
          <t>conservative</t>
        </is>
      </c>
    </row>
    <row r="9">
      <c r="A9" s="10" t="inlineStr">
        <is>
          <t>MTFS</t>
        </is>
      </c>
      <c r="B9" s="7" t="inlineStr">
        <is>
          <t>ODFL/JKHY</t>
        </is>
      </c>
      <c r="C9" s="7" t="inlineStr">
        <is>
          <t>JKHY</t>
        </is>
      </c>
      <c r="D9" s="7" t="inlineStr">
        <is>
          <t>short</t>
        </is>
      </c>
      <c r="E9" s="24" t="n">
        <v>-191</v>
      </c>
      <c r="F9" s="4" t="n">
        <v>133.13</v>
      </c>
      <c r="G9" s="19" t="n">
        <v>-25427.83</v>
      </c>
      <c r="H9" s="7" t="inlineStr">
        <is>
          <t>finance</t>
        </is>
      </c>
      <c r="I9" s="7" t="n">
        <v>0</v>
      </c>
      <c r="J9" s="7" t="inlineStr">
        <is>
          <t>conservative</t>
        </is>
      </c>
    </row>
    <row r="10">
      <c r="A10" s="12" t="inlineStr">
        <is>
          <t>MTFS</t>
        </is>
      </c>
      <c r="B10" s="17" t="inlineStr">
        <is>
          <t>KLAC/REGN</t>
        </is>
      </c>
      <c r="C10" s="17" t="inlineStr">
        <is>
          <t>KLAC</t>
        </is>
      </c>
      <c r="D10" s="17" t="inlineStr">
        <is>
          <t>long</t>
        </is>
      </c>
      <c r="E10" s="26" t="n">
        <v>670</v>
      </c>
      <c r="F10" s="13" t="n">
        <v>2125.11</v>
      </c>
      <c r="G10" s="13" t="n">
        <v>1423823.7</v>
      </c>
      <c r="H10" s="17" t="inlineStr">
        <is>
          <t>tech</t>
        </is>
      </c>
      <c r="I10" s="17" t="n">
        <v>0</v>
      </c>
      <c r="J10" s="17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KLAC/REGN</t>
        </is>
      </c>
      <c r="C11" s="7" t="inlineStr">
        <is>
          <t>REGN</t>
        </is>
      </c>
      <c r="D11" s="7" t="inlineStr">
        <is>
          <t>short</t>
        </is>
      </c>
      <c r="E11" s="24" t="n">
        <v>-23</v>
      </c>
      <c r="F11" s="4" t="n">
        <v>618.95</v>
      </c>
      <c r="G11" s="19" t="n">
        <v>-14235.85</v>
      </c>
      <c r="H11" s="7" t="inlineStr">
        <is>
          <t>health</t>
        </is>
      </c>
      <c r="I11" s="7" t="n">
        <v>0</v>
      </c>
      <c r="J11" s="7" t="inlineStr">
        <is>
          <t>beta_neutral_long_term</t>
        </is>
      </c>
    </row>
    <row r="12">
      <c r="A12" s="12" t="inlineStr">
        <is>
          <t>MTFS</t>
        </is>
      </c>
      <c r="B12" s="17" t="inlineStr">
        <is>
          <t>PANW/IQV</t>
        </is>
      </c>
      <c r="C12" s="17" t="inlineStr">
        <is>
          <t>PANW</t>
        </is>
      </c>
      <c r="D12" s="17" t="inlineStr">
        <is>
          <t>long</t>
        </is>
      </c>
      <c r="E12" s="26" t="n">
        <v>233</v>
      </c>
      <c r="F12" s="13" t="n">
        <v>280.43</v>
      </c>
      <c r="G12" s="13" t="n">
        <v>65340.19</v>
      </c>
      <c r="H12" s="17" t="inlineStr">
        <is>
          <t>tech</t>
        </is>
      </c>
      <c r="I12" s="17" t="n">
        <v>0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PANW/IQV</t>
        </is>
      </c>
      <c r="C13" s="7" t="inlineStr">
        <is>
          <t>IQV</t>
        </is>
      </c>
      <c r="D13" s="7" t="inlineStr">
        <is>
          <t>short</t>
        </is>
      </c>
      <c r="E13" s="24" t="n">
        <v>-350</v>
      </c>
      <c r="F13" s="4" t="n">
        <v>182.05</v>
      </c>
      <c r="G13" s="19" t="n">
        <v>-63717.5</v>
      </c>
      <c r="H13" s="7" t="inlineStr">
        <is>
          <t>health</t>
        </is>
      </c>
      <c r="I13" s="7" t="n">
        <v>0</v>
      </c>
      <c r="J13" s="7" t="inlineStr">
        <is>
          <t>monthly_aligned_windows</t>
        </is>
      </c>
    </row>
    <row r="14">
      <c r="A14" s="12" t="inlineStr">
        <is>
          <t>MTFS</t>
        </is>
      </c>
      <c r="B14" s="17" t="inlineStr">
        <is>
          <t>KLAC/LOW</t>
        </is>
      </c>
      <c r="C14" s="17" t="inlineStr">
        <is>
          <t>KLAC</t>
        </is>
      </c>
      <c r="D14" s="17" t="inlineStr">
        <is>
          <t>long</t>
        </is>
      </c>
      <c r="E14" s="26" t="n">
        <v>420</v>
      </c>
      <c r="F14" s="13" t="n">
        <v>2125.11</v>
      </c>
      <c r="G14" s="13" t="n">
        <v>892546.2</v>
      </c>
      <c r="H14" s="17" t="inlineStr">
        <is>
          <t>tech</t>
        </is>
      </c>
      <c r="I14" s="17" t="n">
        <v>1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KLAC/LOW</t>
        </is>
      </c>
      <c r="C15" s="7" t="inlineStr">
        <is>
          <t>LOW</t>
        </is>
      </c>
      <c r="D15" s="7" t="inlineStr">
        <is>
          <t>short</t>
        </is>
      </c>
      <c r="E15" s="24" t="n">
        <v>-382</v>
      </c>
      <c r="F15" s="4" t="n">
        <v>207.65</v>
      </c>
      <c r="G15" s="19" t="n">
        <v>-79322.3</v>
      </c>
      <c r="H15" s="7" t="inlineStr">
        <is>
          <t>food</t>
        </is>
      </c>
      <c r="I15" s="7" t="n">
        <v>1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FFIV/VLTO</t>
        </is>
      </c>
      <c r="C16" s="17" t="inlineStr">
        <is>
          <t>FFIV</t>
        </is>
      </c>
      <c r="D16" s="17" t="inlineStr">
        <is>
          <t>long</t>
        </is>
      </c>
      <c r="E16" s="26" t="n">
        <v>426</v>
      </c>
      <c r="F16" s="13" t="n">
        <v>405.66</v>
      </c>
      <c r="G16" s="13" t="n">
        <v>172811.16</v>
      </c>
      <c r="H16" s="17" t="inlineStr">
        <is>
          <t>tech</t>
        </is>
      </c>
      <c r="I16" s="17" t="n">
        <v>0</v>
      </c>
      <c r="J16" s="17" t="inlineStr">
        <is>
          <t>long_term_tilt</t>
        </is>
      </c>
    </row>
    <row r="17">
      <c r="A17" s="10" t="inlineStr">
        <is>
          <t>MTFS</t>
        </is>
      </c>
      <c r="B17" s="7" t="inlineStr">
        <is>
          <t>FFIV/VLTO</t>
        </is>
      </c>
      <c r="C17" s="7" t="inlineStr">
        <is>
          <t>VLTO</t>
        </is>
      </c>
      <c r="D17" s="7" t="inlineStr">
        <is>
          <t>short</t>
        </is>
      </c>
      <c r="E17" s="24" t="n">
        <v>-665</v>
      </c>
      <c r="F17" s="11" t="n">
        <v>84.67</v>
      </c>
      <c r="G17" s="19" t="n">
        <v>-56305.55</v>
      </c>
      <c r="H17" s="7" t="inlineStr">
        <is>
          <t>health</t>
        </is>
      </c>
      <c r="I17" s="7" t="n">
        <v>0</v>
      </c>
      <c r="J17" s="7" t="inlineStr">
        <is>
          <t>long_term_tilt</t>
        </is>
      </c>
    </row>
    <row r="18">
      <c r="A18" s="12" t="inlineStr">
        <is>
          <t>MTFS</t>
        </is>
      </c>
      <c r="B18" s="17" t="inlineStr">
        <is>
          <t>LRCX/BSX</t>
        </is>
      </c>
      <c r="C18" s="17" t="inlineStr">
        <is>
          <t>LRCX</t>
        </is>
      </c>
      <c r="D18" s="17" t="inlineStr">
        <is>
          <t>long</t>
        </is>
      </c>
      <c r="E18" s="26" t="n">
        <v>431</v>
      </c>
      <c r="F18" s="13" t="n">
        <v>343.71</v>
      </c>
      <c r="G18" s="13" t="n">
        <v>148139.01</v>
      </c>
      <c r="H18" s="17" t="inlineStr">
        <is>
          <t>tech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LRCX/BSX</t>
        </is>
      </c>
      <c r="C19" s="7" t="inlineStr">
        <is>
          <t>BSX</t>
        </is>
      </c>
      <c r="D19" s="7" t="inlineStr">
        <is>
          <t>short</t>
        </is>
      </c>
      <c r="E19" s="24" t="n">
        <v>-1706</v>
      </c>
      <c r="F19" s="11" t="n">
        <v>47.69</v>
      </c>
      <c r="G19" s="19" t="n">
        <v>-81359.14</v>
      </c>
      <c r="H19" s="7" t="inlineStr">
        <is>
          <t>health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LRCX/RMD</t>
        </is>
      </c>
      <c r="C20" s="17" t="inlineStr">
        <is>
          <t>LRCX</t>
        </is>
      </c>
      <c r="D20" s="17" t="inlineStr">
        <is>
          <t>long</t>
        </is>
      </c>
      <c r="E20" s="26" t="n">
        <v>431</v>
      </c>
      <c r="F20" s="13" t="n">
        <v>343.71</v>
      </c>
      <c r="G20" s="13" t="n">
        <v>148139.01</v>
      </c>
      <c r="H20" s="17" t="inlineStr">
        <is>
          <t>tech</t>
        </is>
      </c>
      <c r="I20" s="17" t="n">
        <v>1</v>
      </c>
      <c r="J20" s="17" t="inlineStr">
        <is>
          <t>fast_rebalance</t>
        </is>
      </c>
    </row>
    <row r="21">
      <c r="A21" s="10" t="inlineStr">
        <is>
          <t>MTFS</t>
        </is>
      </c>
      <c r="B21" s="7" t="inlineStr">
        <is>
          <t>LRCX/RMD</t>
        </is>
      </c>
      <c r="C21" s="7" t="inlineStr">
        <is>
          <t>RMD</t>
        </is>
      </c>
      <c r="D21" s="7" t="inlineStr">
        <is>
          <t>short</t>
        </is>
      </c>
      <c r="E21" s="24" t="n">
        <v>-288</v>
      </c>
      <c r="F21" s="4" t="n">
        <v>186.46</v>
      </c>
      <c r="G21" s="19" t="n">
        <v>-53700.48</v>
      </c>
      <c r="H21" s="7" t="inlineStr">
        <is>
          <t>health</t>
        </is>
      </c>
      <c r="I21" s="7" t="n">
        <v>1</v>
      </c>
      <c r="J21" s="7" t="inlineStr">
        <is>
          <t>fast_rebalance</t>
        </is>
      </c>
    </row>
    <row r="22">
      <c r="A22" s="12" t="inlineStr">
        <is>
          <t>MTFS</t>
        </is>
      </c>
      <c r="B22" s="17" t="inlineStr">
        <is>
          <t>ORCL/LOW</t>
        </is>
      </c>
      <c r="C22" s="17" t="inlineStr">
        <is>
          <t>ORCL</t>
        </is>
      </c>
      <c r="D22" s="17" t="inlineStr">
        <is>
          <t>long</t>
        </is>
      </c>
      <c r="E22" s="26" t="n">
        <v>243</v>
      </c>
      <c r="F22" s="13" t="n">
        <v>230.33</v>
      </c>
      <c r="G22" s="13" t="n">
        <v>55970.19</v>
      </c>
      <c r="H22" s="17" t="inlineStr">
        <is>
          <t>tech</t>
        </is>
      </c>
      <c r="I22" s="17" t="n">
        <v>0</v>
      </c>
      <c r="J22" s="17" t="inlineStr">
        <is>
          <t>fast_strict</t>
        </is>
      </c>
    </row>
    <row r="23">
      <c r="A23" s="10" t="inlineStr">
        <is>
          <t>MTFS</t>
        </is>
      </c>
      <c r="B23" s="7" t="inlineStr">
        <is>
          <t>ORCL/LOW</t>
        </is>
      </c>
      <c r="C23" s="7" t="inlineStr">
        <is>
          <t>LOW</t>
        </is>
      </c>
      <c r="D23" s="7" t="inlineStr">
        <is>
          <t>short</t>
        </is>
      </c>
      <c r="E23" s="24" t="n">
        <v>-256</v>
      </c>
      <c r="F23" s="4" t="n">
        <v>207.65</v>
      </c>
      <c r="G23" s="19" t="n">
        <v>-53158.4</v>
      </c>
      <c r="H23" s="7" t="inlineStr">
        <is>
          <t>food</t>
        </is>
      </c>
      <c r="I23" s="7" t="n">
        <v>0</v>
      </c>
      <c r="J23" s="7" t="inlineStr">
        <is>
          <t>fast_strict</t>
        </is>
      </c>
    </row>
    <row r="24">
      <c r="A24" s="12" t="inlineStr">
        <is>
          <t>MTFS</t>
        </is>
      </c>
      <c r="B24" s="17" t="inlineStr">
        <is>
          <t>CSCO/CAG</t>
        </is>
      </c>
      <c r="C24" s="17" t="inlineStr">
        <is>
          <t>CSCO</t>
        </is>
      </c>
      <c r="D24" s="17" t="inlineStr">
        <is>
          <t>long</t>
        </is>
      </c>
      <c r="E24" s="26" t="n">
        <v>912</v>
      </c>
      <c r="F24" s="13" t="n">
        <v>126.5</v>
      </c>
      <c r="G24" s="13" t="n">
        <v>115368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CSCO/CAG</t>
        </is>
      </c>
      <c r="C25" s="7" t="inlineStr">
        <is>
          <t>CAG</t>
        </is>
      </c>
      <c r="D25" s="7" t="inlineStr">
        <is>
          <t>short</t>
        </is>
      </c>
      <c r="E25" s="24" t="n">
        <v>-4137</v>
      </c>
      <c r="F25" s="11" t="n">
        <v>12.58</v>
      </c>
      <c r="G25" s="19" t="n">
        <v>-52043.46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NUE/INTU</t>
        </is>
      </c>
      <c r="C26" s="17" t="inlineStr">
        <is>
          <t>NUE</t>
        </is>
      </c>
      <c r="D26" s="17" t="inlineStr">
        <is>
          <t>long</t>
        </is>
      </c>
      <c r="E26" s="26" t="n">
        <v>329</v>
      </c>
      <c r="F26" s="13" t="n">
        <v>257.73</v>
      </c>
      <c r="G26" s="13" t="n">
        <v>84793.17</v>
      </c>
      <c r="H26" s="17" t="inlineStr">
        <is>
          <t>materials</t>
        </is>
      </c>
      <c r="I26" s="17" t="n">
        <v>0</v>
      </c>
      <c r="J26" s="17" t="inlineStr">
        <is>
          <t>conservative</t>
        </is>
      </c>
    </row>
    <row r="27">
      <c r="A27" s="10" t="inlineStr">
        <is>
          <t>MTFS</t>
        </is>
      </c>
      <c r="B27" s="7" t="inlineStr">
        <is>
          <t>NUE/INTU</t>
        </is>
      </c>
      <c r="C27" s="7" t="inlineStr">
        <is>
          <t>INTU</t>
        </is>
      </c>
      <c r="D27" s="7" t="inlineStr">
        <is>
          <t>short</t>
        </is>
      </c>
      <c r="E27" s="24" t="n">
        <v>-82</v>
      </c>
      <c r="F27" s="4" t="n">
        <v>311.44</v>
      </c>
      <c r="G27" s="19" t="n">
        <v>-25538.08</v>
      </c>
      <c r="H27" s="7" t="inlineStr">
        <is>
          <t>tech</t>
        </is>
      </c>
      <c r="I27" s="7" t="n">
        <v>0</v>
      </c>
      <c r="J27" s="7" t="inlineStr">
        <is>
          <t>conservative</t>
        </is>
      </c>
    </row>
    <row r="28">
      <c r="A28" s="12" t="inlineStr">
        <is>
          <t>MTFS</t>
        </is>
      </c>
      <c r="B28" s="17" t="inlineStr">
        <is>
          <t>CSCO/REGN</t>
        </is>
      </c>
      <c r="C28" s="17" t="inlineStr">
        <is>
          <t>CSCO</t>
        </is>
      </c>
      <c r="D28" s="17" t="inlineStr">
        <is>
          <t>long</t>
        </is>
      </c>
      <c r="E28" s="26" t="n">
        <v>912</v>
      </c>
      <c r="F28" s="13" t="n">
        <v>126.5</v>
      </c>
      <c r="G28" s="13" t="n">
        <v>115368</v>
      </c>
      <c r="H28" s="17" t="inlineStr">
        <is>
          <t>tech</t>
        </is>
      </c>
      <c r="I28" s="17" t="n">
        <v>0</v>
      </c>
      <c r="J28" s="17" t="inlineStr">
        <is>
          <t>monthly_aligned_windows</t>
        </is>
      </c>
    </row>
    <row r="29">
      <c r="A29" s="10" t="inlineStr">
        <is>
          <t>MTFS</t>
        </is>
      </c>
      <c r="B29" s="7" t="inlineStr">
        <is>
          <t>CSCO/REGN</t>
        </is>
      </c>
      <c r="C29" s="7" t="inlineStr">
        <is>
          <t>REGN</t>
        </is>
      </c>
      <c r="D29" s="7" t="inlineStr">
        <is>
          <t>short</t>
        </is>
      </c>
      <c r="E29" s="24" t="n">
        <v>-89</v>
      </c>
      <c r="F29" s="4" t="n">
        <v>618.95</v>
      </c>
      <c r="G29" s="19" t="n">
        <v>-55086.55</v>
      </c>
      <c r="H29" s="7" t="inlineStr">
        <is>
          <t>health</t>
        </is>
      </c>
      <c r="I29" s="7" t="n">
        <v>0</v>
      </c>
      <c r="J29" s="7" t="inlineStr">
        <is>
          <t>monthly_aligned_windows</t>
        </is>
      </c>
    </row>
    <row r="30">
      <c r="A30" s="12" t="inlineStr">
        <is>
          <t>MTFS</t>
        </is>
      </c>
      <c r="B30" s="17" t="inlineStr">
        <is>
          <t>NUE/MKTX</t>
        </is>
      </c>
      <c r="C30" s="17" t="inlineStr">
        <is>
          <t>NUE</t>
        </is>
      </c>
      <c r="D30" s="17" t="inlineStr">
        <is>
          <t>long</t>
        </is>
      </c>
      <c r="E30" s="26" t="n">
        <v>329</v>
      </c>
      <c r="F30" s="13" t="n">
        <v>257.73</v>
      </c>
      <c r="G30" s="13" t="n">
        <v>84793.17</v>
      </c>
      <c r="H30" s="17" t="inlineStr">
        <is>
          <t>materials</t>
        </is>
      </c>
      <c r="I30" s="17" t="n">
        <v>0</v>
      </c>
      <c r="J30" s="17" t="inlineStr">
        <is>
          <t>weekly_aligned_windows</t>
        </is>
      </c>
    </row>
    <row r="31">
      <c r="A31" s="10" t="inlineStr">
        <is>
          <t>MTFS</t>
        </is>
      </c>
      <c r="B31" s="7" t="inlineStr">
        <is>
          <t>NUE/MKTX</t>
        </is>
      </c>
      <c r="C31" s="7" t="inlineStr">
        <is>
          <t>MKTX</t>
        </is>
      </c>
      <c r="D31" s="7" t="inlineStr">
        <is>
          <t>short</t>
        </is>
      </c>
      <c r="E31" s="24" t="n">
        <v>-422</v>
      </c>
      <c r="F31" s="4" t="n">
        <v>122.98</v>
      </c>
      <c r="G31" s="19" t="n">
        <v>-51897.56</v>
      </c>
      <c r="H31" s="7" t="inlineStr">
        <is>
          <t>tech</t>
        </is>
      </c>
      <c r="I31" s="7" t="n">
        <v>0</v>
      </c>
      <c r="J31" s="7" t="inlineStr">
        <is>
          <t>weekly_aligned_windows</t>
        </is>
      </c>
    </row>
    <row r="32">
      <c r="A32" s="12" t="inlineStr">
        <is>
          <t>MTFS</t>
        </is>
      </c>
      <c r="B32" s="17" t="inlineStr">
        <is>
          <t>STLD/ISRG</t>
        </is>
      </c>
      <c r="C32" s="17" t="inlineStr">
        <is>
          <t>STLD</t>
        </is>
      </c>
      <c r="D32" s="17" t="inlineStr">
        <is>
          <t>long</t>
        </is>
      </c>
      <c r="E32" s="26" t="n">
        <v>502</v>
      </c>
      <c r="F32" s="13" t="n">
        <v>275.13</v>
      </c>
      <c r="G32" s="13" t="n">
        <v>138115.26</v>
      </c>
      <c r="H32" s="17" t="inlineStr">
        <is>
          <t>materials</t>
        </is>
      </c>
      <c r="I32" s="17" t="n">
        <v>1</v>
      </c>
      <c r="J32" s="17" t="inlineStr">
        <is>
          <t>beta_neutral</t>
        </is>
      </c>
    </row>
    <row r="33">
      <c r="A33" s="10" t="inlineStr">
        <is>
          <t>MTFS</t>
        </is>
      </c>
      <c r="B33" s="7" t="inlineStr">
        <is>
          <t>STLD/ISRG</t>
        </is>
      </c>
      <c r="C33" s="7" t="inlineStr">
        <is>
          <t>ISRG</t>
        </is>
      </c>
      <c r="D33" s="7" t="inlineStr">
        <is>
          <t>short</t>
        </is>
      </c>
      <c r="E33" s="24" t="n">
        <v>-79</v>
      </c>
      <c r="F33" s="4" t="n">
        <v>407.29</v>
      </c>
      <c r="G33" s="19" t="n">
        <v>-32175.91</v>
      </c>
      <c r="H33" s="7" t="inlineStr">
        <is>
          <t>health</t>
        </is>
      </c>
      <c r="I33" s="7" t="n">
        <v>1</v>
      </c>
      <c r="J33" s="7" t="inlineStr">
        <is>
          <t>beta_neutral</t>
        </is>
      </c>
    </row>
    <row r="34">
      <c r="A34" s="12" t="inlineStr">
        <is>
          <t>MTFS</t>
        </is>
      </c>
      <c r="B34" s="17" t="inlineStr">
        <is>
          <t>BWA/VLTO</t>
        </is>
      </c>
      <c r="C34" s="17" t="inlineStr">
        <is>
          <t>BWA</t>
        </is>
      </c>
      <c r="D34" s="17" t="inlineStr">
        <is>
          <t>long</t>
        </is>
      </c>
      <c r="E34" s="26" t="n">
        <v>2359</v>
      </c>
      <c r="F34" s="15" t="n">
        <v>76.55</v>
      </c>
      <c r="G34" s="13" t="n">
        <v>180581.45</v>
      </c>
      <c r="H34" s="17" t="inlineStr">
        <is>
          <t>industrial</t>
        </is>
      </c>
      <c r="I34" s="17" t="n">
        <v>0</v>
      </c>
      <c r="J34" s="17" t="inlineStr">
        <is>
          <t>kalman_aggressive</t>
        </is>
      </c>
    </row>
    <row r="35">
      <c r="A35" s="10" t="inlineStr">
        <is>
          <t>MTFS</t>
        </is>
      </c>
      <c r="B35" s="7" t="inlineStr">
        <is>
          <t>BWA/VLTO</t>
        </is>
      </c>
      <c r="C35" s="7" t="inlineStr">
        <is>
          <t>VLTO</t>
        </is>
      </c>
      <c r="D35" s="7" t="inlineStr">
        <is>
          <t>short</t>
        </is>
      </c>
      <c r="E35" s="24" t="n">
        <v>-961</v>
      </c>
      <c r="F35" s="11" t="n">
        <v>84.67</v>
      </c>
      <c r="G35" s="19" t="n">
        <v>-81367.87</v>
      </c>
      <c r="H35" s="7" t="inlineStr">
        <is>
          <t>health</t>
        </is>
      </c>
      <c r="I35" s="7" t="n">
        <v>0</v>
      </c>
      <c r="J35" s="7" t="inlineStr">
        <is>
          <t>kalman_aggressive</t>
        </is>
      </c>
    </row>
    <row r="36">
      <c r="A36" s="12" t="inlineStr">
        <is>
          <t>MTFS</t>
        </is>
      </c>
      <c r="B36" s="17" t="inlineStr">
        <is>
          <t>STLD/HII</t>
        </is>
      </c>
      <c r="C36" s="17" t="inlineStr">
        <is>
          <t>STLD</t>
        </is>
      </c>
      <c r="D36" s="17" t="inlineStr">
        <is>
          <t>long</t>
        </is>
      </c>
      <c r="E36" s="26" t="n">
        <v>502</v>
      </c>
      <c r="F36" s="13" t="n">
        <v>275.13</v>
      </c>
      <c r="G36" s="13" t="n">
        <v>138115.26</v>
      </c>
      <c r="H36" s="17" t="inlineStr">
        <is>
          <t>materials</t>
        </is>
      </c>
      <c r="I36" s="17" t="n">
        <v>0</v>
      </c>
      <c r="J36" s="17" t="inlineStr">
        <is>
          <t>weekly_aligned_windows</t>
        </is>
      </c>
    </row>
    <row r="37">
      <c r="A37" s="10" t="inlineStr">
        <is>
          <t>MTFS</t>
        </is>
      </c>
      <c r="B37" s="7" t="inlineStr">
        <is>
          <t>STLD/HII</t>
        </is>
      </c>
      <c r="C37" s="7" t="inlineStr">
        <is>
          <t>HII</t>
        </is>
      </c>
      <c r="D37" s="7" t="inlineStr">
        <is>
          <t>short</t>
        </is>
      </c>
      <c r="E37" s="24" t="n">
        <v>-178</v>
      </c>
      <c r="F37" s="4" t="n">
        <v>287.54</v>
      </c>
      <c r="G37" s="19" t="n">
        <v>-51182.12</v>
      </c>
      <c r="H37" s="7" t="inlineStr">
        <is>
          <t>industrial</t>
        </is>
      </c>
      <c r="I37" s="7" t="n">
        <v>0</v>
      </c>
      <c r="J37" s="7" t="inlineStr">
        <is>
          <t>weekly_aligned_windows</t>
        </is>
      </c>
    </row>
    <row r="38">
      <c r="A38" s="12" t="inlineStr">
        <is>
          <t>MTFS</t>
        </is>
      </c>
      <c r="B38" s="17" t="inlineStr">
        <is>
          <t>BWA/CME</t>
        </is>
      </c>
      <c r="C38" s="17" t="inlineStr">
        <is>
          <t>BWA</t>
        </is>
      </c>
      <c r="D38" s="17" t="inlineStr">
        <is>
          <t>long</t>
        </is>
      </c>
      <c r="E38" s="26" t="n">
        <v>2359</v>
      </c>
      <c r="F38" s="15" t="n">
        <v>76.55</v>
      </c>
      <c r="G38" s="13" t="n">
        <v>180581.45</v>
      </c>
      <c r="H38" s="17" t="inlineStr">
        <is>
          <t>industrial</t>
        </is>
      </c>
      <c r="I38" s="17" t="n">
        <v>0</v>
      </c>
      <c r="J38" s="17" t="inlineStr">
        <is>
          <t>kalman_aggressive</t>
        </is>
      </c>
    </row>
    <row r="39">
      <c r="A39" s="10" t="inlineStr">
        <is>
          <t>MTFS</t>
        </is>
      </c>
      <c r="B39" s="7" t="inlineStr">
        <is>
          <t>BWA/CME</t>
        </is>
      </c>
      <c r="C39" s="7" t="inlineStr">
        <is>
          <t>CME</t>
        </is>
      </c>
      <c r="D39" s="7" t="inlineStr">
        <is>
          <t>short</t>
        </is>
      </c>
      <c r="E39" s="24" t="n">
        <v>-298</v>
      </c>
      <c r="F39" s="4" t="n">
        <v>252.64</v>
      </c>
      <c r="G39" s="19" t="n">
        <v>-75286.72</v>
      </c>
      <c r="H39" s="7" t="inlineStr">
        <is>
          <t>finance</t>
        </is>
      </c>
      <c r="I39" s="7" t="n">
        <v>0</v>
      </c>
      <c r="J39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13653.58</v>
      </c>
      <c r="D4" s="13" t="n">
        <v>179865.28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ODFL/MKTX</t>
        </is>
      </c>
      <c r="C5" s="4" t="n">
        <v>13324.02</v>
      </c>
      <c r="D5" s="4" t="n">
        <v>110547.8</v>
      </c>
      <c r="E5" s="7" t="n">
        <v>0</v>
      </c>
      <c r="F5" s="7" t="inlineStr">
        <is>
          <t>sensitive_reversal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ODFL/JKHY</t>
        </is>
      </c>
      <c r="C6" s="13" t="n">
        <v>4859.49</v>
      </c>
      <c r="D6" s="13" t="n">
        <v>55643.51</v>
      </c>
      <c r="E6" s="17" t="n">
        <v>0</v>
      </c>
      <c r="F6" s="17" t="inlineStr">
        <is>
          <t>conservative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KLAC/REGN</t>
        </is>
      </c>
      <c r="C7" s="4" t="n">
        <v>1289420.98</v>
      </c>
      <c r="D7" s="4" t="n">
        <v>1438059.55</v>
      </c>
      <c r="E7" s="7" t="n">
        <v>0</v>
      </c>
      <c r="F7" s="7" t="inlineStr">
        <is>
          <t>beta_neutral_long_term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PANW/IQV</t>
        </is>
      </c>
      <c r="C8" s="13" t="n">
        <v>1696.18</v>
      </c>
      <c r="D8" s="13" t="n">
        <v>129057.69</v>
      </c>
      <c r="E8" s="17" t="n">
        <v>0</v>
      </c>
      <c r="F8" s="17" t="inlineStr">
        <is>
          <t>monthly_aligned_windows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KLAC/LOW</t>
        </is>
      </c>
      <c r="C9" s="4" t="n">
        <v>815508.88</v>
      </c>
      <c r="D9" s="4" t="n">
        <v>971868.5</v>
      </c>
      <c r="E9" s="7" t="n">
        <v>1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FFIV/VLTO</t>
        </is>
      </c>
      <c r="C10" s="13" t="n">
        <v>8678.629999999999</v>
      </c>
      <c r="D10" s="13" t="n">
        <v>229116.71</v>
      </c>
      <c r="E10" s="17" t="n">
        <v>0</v>
      </c>
      <c r="F10" s="17" t="inlineStr">
        <is>
          <t>long_term_tilt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LRCX/BSX</t>
        </is>
      </c>
      <c r="C11" s="4" t="n">
        <v>12061.15</v>
      </c>
      <c r="D11" s="4" t="n">
        <v>229498.15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LRCX/RMD</t>
        </is>
      </c>
      <c r="C12" s="13" t="n">
        <v>12187.11</v>
      </c>
      <c r="D12" s="13" t="n">
        <v>201839.49</v>
      </c>
      <c r="E12" s="17" t="n">
        <v>1</v>
      </c>
      <c r="F12" s="17" t="inlineStr">
        <is>
          <t>fast_rebalance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ORCL/LOW</t>
        </is>
      </c>
      <c r="C13" s="4" t="n">
        <v>2823.41</v>
      </c>
      <c r="D13" s="4" t="n">
        <v>109128.59</v>
      </c>
      <c r="E13" s="7" t="n">
        <v>0</v>
      </c>
      <c r="F13" s="7" t="inlineStr">
        <is>
          <t>fast_strict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CSCO/CAG</t>
        </is>
      </c>
      <c r="C14" s="13" t="n">
        <v>8440.860000000001</v>
      </c>
      <c r="D14" s="13" t="n">
        <v>167411.46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NUE/INTU</t>
        </is>
      </c>
      <c r="C15" s="4" t="n">
        <v>4190.55</v>
      </c>
      <c r="D15" s="4" t="n">
        <v>110331.25</v>
      </c>
      <c r="E15" s="7" t="n">
        <v>0</v>
      </c>
      <c r="F15" s="7" t="inlineStr">
        <is>
          <t>conservative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CSCO/REGN</t>
        </is>
      </c>
      <c r="C16" s="13" t="n">
        <v>5173.83</v>
      </c>
      <c r="D16" s="13" t="n">
        <v>170454.55</v>
      </c>
      <c r="E16" s="17" t="n">
        <v>0</v>
      </c>
      <c r="F16" s="17" t="inlineStr">
        <is>
          <t>monthly_aligned_windows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NUE/MKTX</t>
        </is>
      </c>
      <c r="C17" s="4" t="n">
        <v>5522.49</v>
      </c>
      <c r="D17" s="4" t="n">
        <v>136690.73</v>
      </c>
      <c r="E17" s="7" t="n">
        <v>0</v>
      </c>
      <c r="F17" s="7" t="inlineStr">
        <is>
          <t>weekly_aligned_windows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STLD/ISRG</t>
        </is>
      </c>
      <c r="C18" s="13" t="n">
        <v>8890.610000000001</v>
      </c>
      <c r="D18" s="13" t="n">
        <v>170291.17</v>
      </c>
      <c r="E18" s="17" t="n">
        <v>1</v>
      </c>
      <c r="F18" s="17" t="inlineStr">
        <is>
          <t>beta_neutral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BWA/VLTO</t>
        </is>
      </c>
      <c r="C19" s="4" t="n">
        <v>9214.26</v>
      </c>
      <c r="D19" s="4" t="n">
        <v>261949.32</v>
      </c>
      <c r="E19" s="7" t="n">
        <v>0</v>
      </c>
      <c r="F19" s="7" t="inlineStr">
        <is>
          <t>kalman_aggressive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STLD/HII</t>
        </is>
      </c>
      <c r="C20" s="13" t="n">
        <v>11192.1</v>
      </c>
      <c r="D20" s="13" t="n">
        <v>189297.38</v>
      </c>
      <c r="E20" s="17" t="n">
        <v>0</v>
      </c>
      <c r="F20" s="17" t="inlineStr">
        <is>
          <t>weekly_aligned_windows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BWA/CME</t>
        </is>
      </c>
      <c r="C21" s="4" t="n">
        <v>17787.3</v>
      </c>
      <c r="D21" s="4" t="n">
        <v>255868.17</v>
      </c>
      <c r="E21" s="7" t="n">
        <v>0</v>
      </c>
      <c r="F21" s="7" t="inlineStr">
        <is>
          <t>kalman_aggressive</t>
        </is>
      </c>
      <c r="G2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2026-06-03</t>
        </is>
      </c>
      <c r="C4" s="7" t="inlineStr">
        <is>
          <t>2026-06-03</t>
        </is>
      </c>
    </row>
    <row r="5">
      <c r="A5" s="12" t="inlineStr">
        <is>
          <t>T_1D</t>
        </is>
      </c>
      <c r="B5" s="17" t="inlineStr">
        <is>
          <t>2026-06-01</t>
        </is>
      </c>
      <c r="C5" s="17" t="inlineStr">
        <is>
          <t>2026-06-01</t>
        </is>
      </c>
    </row>
    <row r="6">
      <c r="A6" s="10" t="inlineStr">
        <is>
          <t>T_1W</t>
        </is>
      </c>
      <c r="B6" s="7" t="inlineStr">
        <is>
          <t>2026-05-27</t>
        </is>
      </c>
      <c r="C6" s="7" t="inlineStr">
        <is>
          <t>2026-05-27</t>
        </is>
      </c>
    </row>
    <row r="7">
      <c r="A7" s="12" t="inlineStr">
        <is>
          <t>T_1M</t>
        </is>
      </c>
      <c r="B7" s="17" t="inlineStr">
        <is>
          <t>2026-05-05</t>
        </is>
      </c>
      <c r="C7" s="17" t="inlineStr">
        <is>
          <t>2026-05-05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14.76</v>
      </c>
      <c r="C6" s="7" t="n">
        <v>-0.62</v>
      </c>
      <c r="D6" s="7" t="n">
        <v>25</v>
      </c>
      <c r="E6" s="22" t="n">
        <v>-15.38</v>
      </c>
    </row>
    <row r="7">
      <c r="A7" s="12" t="inlineStr">
        <is>
          <t>MTFS</t>
        </is>
      </c>
      <c r="B7" s="17" t="n">
        <v>13.59</v>
      </c>
      <c r="C7" s="17" t="n">
        <v>14.38</v>
      </c>
      <c r="D7" s="17" t="n">
        <v>25</v>
      </c>
      <c r="E7" s="20" t="n">
        <v>0.79</v>
      </c>
    </row>
    <row r="8">
      <c r="A8" s="10" t="inlineStr">
        <is>
          <t>SSRS</t>
        </is>
      </c>
      <c r="B8" s="7" t="n">
        <v>24.67</v>
      </c>
      <c r="C8" s="7" t="n">
        <v>4.79</v>
      </c>
      <c r="D8" s="7" t="n">
        <v>25</v>
      </c>
      <c r="E8" s="22" t="n">
        <v>-19.88</v>
      </c>
    </row>
    <row r="9">
      <c r="A9" s="12" t="inlineStr">
        <is>
          <t>AISS</t>
        </is>
      </c>
      <c r="B9" s="17" t="n">
        <v>46.98</v>
      </c>
      <c r="C9" s="17" t="n">
        <v>81.45</v>
      </c>
      <c r="D9" s="17" t="n">
        <v>25</v>
      </c>
      <c r="E9" s="20" t="n">
        <v>34.47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47.94</v>
      </c>
    </row>
    <row r="14">
      <c r="A14" s="12" t="inlineStr">
        <is>
          <t>KLAC/LOW</t>
        </is>
      </c>
      <c r="B14" s="17" t="n">
        <v>29.51</v>
      </c>
    </row>
    <row r="15">
      <c r="A15" s="10" t="inlineStr">
        <is>
          <t>LRCX/BSX</t>
        </is>
      </c>
      <c r="B15" s="7" t="n">
        <v>5.2</v>
      </c>
    </row>
    <row r="16">
      <c r="A16" s="12" t="inlineStr">
        <is>
          <t>LRCX/RMD</t>
        </is>
      </c>
      <c r="B16" s="17" t="n">
        <v>4.44</v>
      </c>
    </row>
    <row r="17">
      <c r="A17" s="10" t="inlineStr">
        <is>
          <t>STLD/HII</t>
        </is>
      </c>
      <c r="B17" s="7" t="n">
        <v>1.81</v>
      </c>
    </row>
    <row r="18">
      <c r="A18" s="12" t="inlineStr">
        <is>
          <t>STLD/ISRG</t>
        </is>
      </c>
      <c r="B18" s="17" t="n">
        <v>1.71</v>
      </c>
    </row>
    <row r="19">
      <c r="A19" s="10" t="inlineStr">
        <is>
          <t>NUE/INTU</t>
        </is>
      </c>
      <c r="B19" s="7" t="n">
        <v>1.4</v>
      </c>
    </row>
    <row r="20">
      <c r="A20" s="12" t="inlineStr">
        <is>
          <t>NUE/MKTX</t>
        </is>
      </c>
      <c r="B20" s="17" t="n">
        <v>1.38</v>
      </c>
    </row>
    <row r="21">
      <c r="A21" s="10" t="inlineStr">
        <is>
          <t>BWA/CME</t>
        </is>
      </c>
      <c r="B21" s="7" t="n">
        <v>1.38</v>
      </c>
    </row>
    <row r="22">
      <c r="A22" s="12" t="inlineStr">
        <is>
          <t>ODFL/MKTX</t>
        </is>
      </c>
      <c r="B22" s="17" t="n">
        <v>1.25</v>
      </c>
    </row>
    <row r="23">
      <c r="A23" s="10" t="inlineStr">
        <is>
          <t>CSCO/CAG</t>
        </is>
      </c>
      <c r="B23" s="7" t="n">
        <v>1.22</v>
      </c>
    </row>
    <row r="24">
      <c r="A24" s="12" t="inlineStr">
        <is>
          <t>FFIV/VLTO</t>
        </is>
      </c>
      <c r="B24" s="17" t="n">
        <v>0.97</v>
      </c>
    </row>
    <row r="25">
      <c r="A25" s="10" t="inlineStr">
        <is>
          <t>CI/MTD</t>
        </is>
      </c>
      <c r="B25" s="7" t="n">
        <v>0.58</v>
      </c>
    </row>
    <row r="26">
      <c r="A26" s="12" t="inlineStr">
        <is>
          <t>BWA/VLTO</t>
        </is>
      </c>
      <c r="B26" s="17" t="n">
        <v>0.45</v>
      </c>
    </row>
    <row r="27">
      <c r="A27" s="10" t="inlineStr">
        <is>
          <t>CSCO/REGN</t>
        </is>
      </c>
      <c r="B27" s="7" t="n">
        <v>0.43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3.744</v>
      </c>
      <c r="C4" s="7" t="n">
        <v>32.684</v>
      </c>
      <c r="D4" s="7" t="n">
        <v>0</v>
      </c>
      <c r="E4" s="7" t="b">
        <v>1</v>
      </c>
      <c r="F4" s="7" t="n">
        <v>1.703</v>
      </c>
      <c r="G4" s="7" t="n">
        <v>1.703</v>
      </c>
      <c r="H4" s="7" t="n">
        <v>0</v>
      </c>
    </row>
    <row r="5">
      <c r="A5" s="12" t="inlineStr">
        <is>
          <t>MRPT</t>
        </is>
      </c>
      <c r="B5" s="17" t="n">
        <v>-0.453</v>
      </c>
      <c r="C5" s="17" t="n">
        <v>2.443</v>
      </c>
      <c r="D5" s="17" t="n">
        <v>0</v>
      </c>
      <c r="E5" s="17" t="b">
        <v>1</v>
      </c>
      <c r="F5" s="17" t="n">
        <v>1.603</v>
      </c>
      <c r="G5" s="17" t="n">
        <v>1.681</v>
      </c>
      <c r="H5" s="17" t="n">
        <v>0.078</v>
      </c>
    </row>
    <row r="6">
      <c r="A6" s="10" t="inlineStr">
        <is>
          <t>MTFS</t>
        </is>
      </c>
      <c r="B6" s="7" t="n">
        <v>5.35</v>
      </c>
      <c r="C6" s="7" t="n">
        <v>49.111</v>
      </c>
      <c r="D6" s="7" t="n">
        <v>0</v>
      </c>
      <c r="E6" s="7" t="b">
        <v>1</v>
      </c>
      <c r="F6" s="7" t="n">
        <v>3.77</v>
      </c>
      <c r="G6" s="7" t="n">
        <v>3.77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1.888</v>
      </c>
      <c r="C9" s="7" t="n">
        <v>0.9591</v>
      </c>
      <c r="D9" s="7" t="n">
        <v>131</v>
      </c>
      <c r="E9" s="7" t="n">
        <v>8.609999999999999</v>
      </c>
      <c r="F9" s="7" t="n">
        <v>9.470000000000001</v>
      </c>
      <c r="G9" s="7" t="n">
        <v>76.2</v>
      </c>
      <c r="H9" s="7" t="n">
        <v>9.06</v>
      </c>
      <c r="I9" s="7" t="n">
        <v>4.53</v>
      </c>
      <c r="J9" s="7" t="n">
        <v>4.616</v>
      </c>
    </row>
    <row r="10">
      <c r="A10" s="12" t="inlineStr">
        <is>
          <t>MRPT</t>
        </is>
      </c>
      <c r="B10" s="17" t="n">
        <v>1.401</v>
      </c>
      <c r="C10" s="17" t="n">
        <v>0.8502999999999999</v>
      </c>
      <c r="D10" s="17" t="n">
        <v>365</v>
      </c>
      <c r="E10" s="17" t="n">
        <v>8.65</v>
      </c>
      <c r="F10" s="17" t="n">
        <v>9.550000000000001</v>
      </c>
      <c r="G10" s="17" t="n">
        <v>76.2</v>
      </c>
      <c r="H10" s="17" t="n">
        <v>6.7</v>
      </c>
      <c r="I10" s="17" t="n">
        <v>3.35</v>
      </c>
      <c r="J10" s="17" t="n">
        <v>0.312</v>
      </c>
    </row>
    <row r="11">
      <c r="A11" s="10" t="inlineStr">
        <is>
          <t>MTFS</t>
        </is>
      </c>
      <c r="B11" s="7" t="n">
        <v>1.322</v>
      </c>
      <c r="C11" s="7" t="n">
        <v>0.8944</v>
      </c>
      <c r="D11" s="7" t="n">
        <v>252</v>
      </c>
      <c r="E11" s="7" t="n">
        <v>15.04</v>
      </c>
      <c r="F11" s="7" t="n">
        <v>16.75</v>
      </c>
      <c r="G11" s="7" t="n">
        <v>79.59999999999999</v>
      </c>
      <c r="H11" s="7" t="n">
        <v>3.11</v>
      </c>
      <c r="I11" s="7" t="n">
        <v>1.55</v>
      </c>
      <c r="J11" s="7" t="n">
        <v>9.289999999999999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2026-06-25T05:35:11Z</dcterms:created>
  <dcterms:modified xmlns:dcterms="http://purl.org/dc/terms/" xmlns:xsi="http://www.w3.org/2001/XMLSchema-instance" xsi:type="dcterms:W3CDTF">2026-06-25T05:35:11Z</dcterms:modified>
</cp:coreProperties>
</file>