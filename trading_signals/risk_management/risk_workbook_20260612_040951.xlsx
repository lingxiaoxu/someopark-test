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Trend'!$A$4:$A$156</f>
            </numRef>
          </cat>
          <val>
            <numRef>
              <f>'NAV Trend'!$B$4:$B$156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2026-06-11  ·  Generated 2026-06-24T18:51:09  ·  Scope: MRPT+MTFS pairs book (model-based, broker-reconciled)</t>
        </is>
      </c>
    </row>
    <row r="4">
      <c r="A4" s="3" t="inlineStr">
        <is>
          <t>NAV (equity)</t>
        </is>
      </c>
      <c r="B4" s="4" t="n">
        <v>1135928.72</v>
      </c>
    </row>
    <row r="5">
      <c r="A5" s="3" t="inlineStr">
        <is>
          <t>Gross leverage (x)</t>
        </is>
      </c>
      <c r="B5" s="5" t="n">
        <v>1.053</v>
      </c>
    </row>
    <row r="6">
      <c r="A6" s="3" t="inlineStr">
        <is>
          <t>Net leverage (x)</t>
        </is>
      </c>
      <c r="B6" s="6" t="n">
        <v>0.418</v>
      </c>
    </row>
    <row r="7">
      <c r="A7" s="3" t="inlineStr">
        <is>
          <t>Net market beta (target≈0)</t>
        </is>
      </c>
      <c r="B7" s="6" t="n">
        <v>0.901</v>
      </c>
    </row>
    <row r="8">
      <c r="A8" s="3" t="inlineStr">
        <is>
          <t>VaR 95% 1-day ($)</t>
        </is>
      </c>
      <c r="B8" s="4" t="n">
        <v>22575.01</v>
      </c>
    </row>
    <row r="9">
      <c r="A9" s="3" t="inlineStr">
        <is>
          <t>VaR 95% 1-day (% NAV)</t>
        </is>
      </c>
      <c r="B9" s="5" t="n">
        <v>1.99</v>
      </c>
    </row>
    <row r="10">
      <c r="A10" s="3" t="inlineStr">
        <is>
          <t>Annual vol (% NAV)</t>
        </is>
      </c>
      <c r="B10" s="5" t="n">
        <v>19.18</v>
      </c>
    </row>
    <row r="11">
      <c r="A11" s="3" t="inlineStr">
        <is>
          <t>Sharpe (annual)</t>
        </is>
      </c>
      <c r="B11" s="5" t="n">
        <v>1.537</v>
      </c>
    </row>
    <row r="12">
      <c r="A12" s="3" t="inlineStr">
        <is>
          <t>PSR( SR&gt;0 )</t>
        </is>
      </c>
      <c r="B12" s="6" t="n">
        <v>0.8861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5.44 / 2.72</t>
        </is>
      </c>
    </row>
    <row r="15">
      <c r="A15" s="3" t="inlineStr">
        <is>
          <t>Actual gross leverage (x)</t>
        </is>
      </c>
      <c r="B15" s="5" t="n">
        <v>1.053</v>
      </c>
    </row>
    <row r="16">
      <c r="A16" s="3" t="inlineStr">
        <is>
          <t>Max single-name</t>
        </is>
      </c>
      <c r="B16" s="7" t="inlineStr">
        <is>
          <t>STLD (24.95% NAV)</t>
        </is>
      </c>
    </row>
    <row r="17">
      <c r="A17" s="3" t="inlineStr">
        <is>
          <t>Max sector net (% gross)</t>
        </is>
      </c>
      <c r="B17" s="5" t="n">
        <v>38.07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8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293674.31</v>
      </c>
      <c r="C5" s="4" t="n">
        <v>165546.36</v>
      </c>
      <c r="D5" s="11" t="n">
        <v>0</v>
      </c>
      <c r="E5" s="4" t="n">
        <v>117385.93</v>
      </c>
    </row>
    <row r="6">
      <c r="A6" s="12" t="inlineStr">
        <is>
          <t>Restricted Cash 受限现金 (PB 102%)</t>
        </is>
      </c>
      <c r="B6" s="13" t="n">
        <v>367779.86</v>
      </c>
      <c r="C6" s="13" t="n">
        <v>554476.08</v>
      </c>
      <c r="D6" s="13" t="n">
        <v>834892.5600000001</v>
      </c>
      <c r="E6" s="13" t="n">
        <v>642885.8199999999</v>
      </c>
    </row>
    <row r="7">
      <c r="A7" s="10" t="inlineStr">
        <is>
          <t>Long Securities 多头证券</t>
        </is>
      </c>
      <c r="B7" s="4" t="n">
        <v>835043.04</v>
      </c>
      <c r="C7" s="4" t="n">
        <v>878128.87</v>
      </c>
      <c r="D7" s="4" t="n">
        <v>1864541.85</v>
      </c>
      <c r="E7" s="4" t="n">
        <v>869230.15</v>
      </c>
    </row>
    <row r="8">
      <c r="A8" s="14" t="inlineStr">
        <is>
          <t>Total Assets 总资产</t>
        </is>
      </c>
      <c r="B8" s="13" t="n">
        <v>1496497.21</v>
      </c>
      <c r="C8" s="13" t="n">
        <v>1598151.31</v>
      </c>
      <c r="D8" s="13" t="n">
        <v>2699434.41</v>
      </c>
      <c r="E8" s="13" t="n">
        <v>1629501.9</v>
      </c>
    </row>
    <row r="9">
      <c r="A9" s="10" t="inlineStr">
        <is>
          <t>Short Securities 空头证券 (义务)</t>
        </is>
      </c>
      <c r="B9" s="4" t="n">
        <v>360568.49</v>
      </c>
      <c r="C9" s="4" t="n">
        <v>543604</v>
      </c>
      <c r="D9" s="4" t="n">
        <v>818522.12</v>
      </c>
      <c r="E9" s="4" t="n">
        <v>630280.22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769042.62</v>
      </c>
      <c r="E10" s="15" t="n">
        <v>0</v>
      </c>
    </row>
    <row r="11">
      <c r="A11" s="16" t="inlineStr">
        <is>
          <t>Total Liabilities 总负债</t>
        </is>
      </c>
      <c r="B11" s="4" t="n">
        <v>360568.49</v>
      </c>
      <c r="C11" s="4" t="n">
        <v>543604</v>
      </c>
      <c r="D11" s="4" t="n">
        <v>1587564.74</v>
      </c>
      <c r="E11" s="4" t="n">
        <v>630280.22</v>
      </c>
    </row>
    <row r="12">
      <c r="A12" s="14" t="inlineStr">
        <is>
          <t>NAV (Equity) 净值 = TA - TL</t>
        </is>
      </c>
      <c r="B12" s="13" t="n">
        <v>1135928.72</v>
      </c>
      <c r="C12" s="13" t="n">
        <v>1054547.31</v>
      </c>
      <c r="D12" s="13" t="n">
        <v>1111869.67</v>
      </c>
      <c r="E12" s="13" t="n">
        <v>999221.6800000001</v>
      </c>
    </row>
    <row r="13">
      <c r="A13" s="10" t="inlineStr">
        <is>
          <t>Gross Leverage 总杠杆 (x)</t>
        </is>
      </c>
      <c r="B13" s="7" t="n">
        <v>1.053</v>
      </c>
      <c r="C13" s="7" t="n">
        <v>1.348</v>
      </c>
      <c r="D13" s="7" t="n">
        <v>2.413</v>
      </c>
      <c r="E13" s="7" t="n">
        <v>1.501</v>
      </c>
    </row>
    <row r="14">
      <c r="A14" s="12" t="inlineStr">
        <is>
          <t>Net Leverage 净杠杆 (x)</t>
        </is>
      </c>
      <c r="B14" s="17" t="n">
        <v>0.418</v>
      </c>
      <c r="C14" s="17" t="n">
        <v>0.317</v>
      </c>
      <c r="D14" s="17" t="n">
        <v>0.9409999999999999</v>
      </c>
      <c r="E14" s="17" t="n">
        <v>0.239</v>
      </c>
    </row>
    <row r="15">
      <c r="A15" s="10" t="inlineStr">
        <is>
          <t>PM Requirement (20%)</t>
        </is>
      </c>
      <c r="B15" s="4" t="n">
        <v>239122.31</v>
      </c>
      <c r="C15" s="4" t="n">
        <v>284346.57</v>
      </c>
      <c r="D15" s="4" t="n">
        <v>536612.79</v>
      </c>
      <c r="E15" s="4" t="n">
        <v>299902.07</v>
      </c>
    </row>
    <row r="16">
      <c r="A16" s="12" t="inlineStr">
        <is>
          <t>Excess Liquidity 超额流动性</t>
        </is>
      </c>
      <c r="B16" s="13" t="n">
        <v>896806.41</v>
      </c>
      <c r="C16" s="13" t="n">
        <v>770200.74</v>
      </c>
      <c r="D16" s="13" t="n">
        <v>575256.88</v>
      </c>
      <c r="E16" s="13" t="n">
        <v>699319.61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835043.04</v>
      </c>
      <c r="C21" s="4" t="n">
        <v>878128.87</v>
      </c>
      <c r="D21" s="4" t="n">
        <v>1111869.67</v>
      </c>
      <c r="E21" s="4" t="n">
        <v>869230.15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835043.04</v>
      </c>
      <c r="C23" s="4" t="n">
        <v>878128.87</v>
      </c>
      <c r="D23" s="4" t="n">
        <v>1864541.85</v>
      </c>
      <c r="E23" s="4" t="n">
        <v>869230.15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752672.1800000001</v>
      </c>
      <c r="E24" s="15" t="n">
        <v>0</v>
      </c>
    </row>
    <row r="25">
      <c r="A25" s="16" t="inlineStr">
        <is>
          <t>Long Book — NAV</t>
        </is>
      </c>
      <c r="B25" s="4" t="n">
        <v>835043.04</v>
      </c>
      <c r="C25" s="4" t="n">
        <v>878128.87</v>
      </c>
      <c r="D25" s="4" t="n">
        <v>1111869.67</v>
      </c>
      <c r="E25" s="4" t="n">
        <v>869230.15</v>
      </c>
    </row>
    <row r="26">
      <c r="A26" s="12" t="inlineStr">
        <is>
          <t>Short Book — Allocated Capital 分配资本</t>
        </is>
      </c>
      <c r="B26" s="13" t="n">
        <v>7211.37</v>
      </c>
      <c r="C26" s="13" t="n">
        <v>10872.08</v>
      </c>
      <c r="D26" s="15" t="n">
        <v>0</v>
      </c>
      <c r="E26" s="13" t="n">
        <v>12605.6</v>
      </c>
    </row>
    <row r="27">
      <c r="A27" s="10" t="inlineStr">
        <is>
          <t>Short Book — Collateral 担保金</t>
        </is>
      </c>
      <c r="B27" s="4" t="n">
        <v>7211.37</v>
      </c>
      <c r="C27" s="4" t="n">
        <v>10872.08</v>
      </c>
      <c r="D27" s="11" t="n">
        <v>0</v>
      </c>
      <c r="E27" s="4" t="n">
        <v>12605.6</v>
      </c>
    </row>
    <row r="28">
      <c r="A28" s="12" t="inlineStr">
        <is>
          <t>Short Book — Short Proceeds 做空收入</t>
        </is>
      </c>
      <c r="B28" s="13" t="n">
        <v>360568.49</v>
      </c>
      <c r="C28" s="13" t="n">
        <v>543604</v>
      </c>
      <c r="D28" s="13" t="n">
        <v>818522.12</v>
      </c>
      <c r="E28" s="13" t="n">
        <v>630280.22</v>
      </c>
    </row>
    <row r="29">
      <c r="A29" s="10" t="inlineStr">
        <is>
          <t>Short Book — Market Value 市值(负债)</t>
        </is>
      </c>
      <c r="B29" s="4" t="n">
        <v>360568.49</v>
      </c>
      <c r="C29" s="4" t="n">
        <v>543604</v>
      </c>
      <c r="D29" s="4" t="n">
        <v>818522.12</v>
      </c>
      <c r="E29" s="4" t="n">
        <v>630280.22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16370.44</v>
      </c>
      <c r="E30" s="15" t="n">
        <v>0</v>
      </c>
    </row>
    <row r="31">
      <c r="A31" s="16" t="inlineStr">
        <is>
          <t>Short Book — NAV</t>
        </is>
      </c>
      <c r="B31" s="4" t="n">
        <v>7211.37</v>
      </c>
      <c r="C31" s="4" t="n">
        <v>10872.08</v>
      </c>
      <c r="D31" s="11" t="n">
        <v>0</v>
      </c>
      <c r="E31" s="4" t="n">
        <v>12605.6</v>
      </c>
    </row>
    <row r="32">
      <c r="A32" s="12" t="inlineStr">
        <is>
          <t>Unallocated Cash 未分配现金</t>
        </is>
      </c>
      <c r="B32" s="13" t="n">
        <v>293674.31</v>
      </c>
      <c r="C32" s="13" t="n">
        <v>165546.36</v>
      </c>
      <c r="D32" s="15" t="n">
        <v>0</v>
      </c>
      <c r="E32" s="13" t="n">
        <v>117385.93</v>
      </c>
    </row>
    <row r="33">
      <c r="A33" s="16" t="inlineStr">
        <is>
          <t>Dual-View NAV 双账户法NAV</t>
        </is>
      </c>
      <c r="B33" s="4" t="n">
        <v>1135928.72</v>
      </c>
      <c r="C33" s="4" t="n">
        <v>1054547.31</v>
      </c>
      <c r="D33" s="4" t="n">
        <v>1111869.67</v>
      </c>
      <c r="E33" s="4" t="n">
        <v>999221.6800000001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566922.75</v>
      </c>
      <c r="C39" s="4" t="n">
        <v>474964.38</v>
      </c>
      <c r="D39" s="4" t="n">
        <v>477131.37</v>
      </c>
      <c r="E39" s="4" t="n">
        <v>77005.94</v>
      </c>
    </row>
    <row r="40">
      <c r="A40" s="12" t="inlineStr">
        <is>
          <t>Restricted Cash 受限现金 (PB 102%)</t>
        </is>
      </c>
      <c r="B40" s="15" t="n">
        <v>0</v>
      </c>
      <c r="C40" s="13" t="n">
        <v>179788.48</v>
      </c>
      <c r="D40" s="13" t="n">
        <v>85660.66</v>
      </c>
      <c r="E40" s="13" t="n">
        <v>519453.38</v>
      </c>
    </row>
    <row r="41">
      <c r="A41" s="10" t="inlineStr">
        <is>
          <t>Long Securities 多头证券</t>
        </is>
      </c>
      <c r="B41" s="11" t="n">
        <v>0</v>
      </c>
      <c r="C41" s="4" t="n">
        <v>87124.84</v>
      </c>
      <c r="D41" s="4" t="n">
        <v>95884.24000000001</v>
      </c>
      <c r="E41" s="4" t="n">
        <v>482026.15</v>
      </c>
    </row>
    <row r="42">
      <c r="A42" s="14" t="inlineStr">
        <is>
          <t>Total Assets 总资产</t>
        </is>
      </c>
      <c r="B42" s="13" t="n">
        <v>566922.75</v>
      </c>
      <c r="C42" s="13" t="n">
        <v>741877.7</v>
      </c>
      <c r="D42" s="13" t="n">
        <v>658676.27</v>
      </c>
      <c r="E42" s="13" t="n">
        <v>1078485.47</v>
      </c>
    </row>
    <row r="43">
      <c r="A43" s="10" t="inlineStr">
        <is>
          <t>Short Securities 空头证券 (义务)</t>
        </is>
      </c>
      <c r="B43" s="11" t="n">
        <v>0</v>
      </c>
      <c r="C43" s="4" t="n">
        <v>176263.22</v>
      </c>
      <c r="D43" s="4" t="n">
        <v>83981.03999999999</v>
      </c>
      <c r="E43" s="4" t="n">
        <v>509268.02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4" t="n">
        <v>176263.22</v>
      </c>
      <c r="D45" s="4" t="n">
        <v>83981.03999999999</v>
      </c>
      <c r="E45" s="4" t="n">
        <v>509268.02</v>
      </c>
    </row>
    <row r="46">
      <c r="A46" s="14" t="inlineStr">
        <is>
          <t>NAV (Equity) 净值 = TA - TL</t>
        </is>
      </c>
      <c r="B46" s="13" t="n">
        <v>566922.75</v>
      </c>
      <c r="C46" s="13" t="n">
        <v>565614.48</v>
      </c>
      <c r="D46" s="13" t="n">
        <v>574695.23</v>
      </c>
      <c r="E46" s="13" t="n">
        <v>569217.45</v>
      </c>
    </row>
    <row r="47">
      <c r="A47" s="10" t="inlineStr">
        <is>
          <t>Gross Leverage 总杠杆 (x)</t>
        </is>
      </c>
      <c r="B47" s="7" t="n">
        <v>0</v>
      </c>
      <c r="C47" s="7" t="n">
        <v>0.466</v>
      </c>
      <c r="D47" s="7" t="n">
        <v>0.313</v>
      </c>
      <c r="E47" s="7" t="n">
        <v>1.742</v>
      </c>
    </row>
    <row r="48">
      <c r="A48" s="12" t="inlineStr">
        <is>
          <t>Net Leverage 净杠杆 (x)</t>
        </is>
      </c>
      <c r="B48" s="17" t="n">
        <v>0</v>
      </c>
      <c r="C48" s="17" t="n">
        <v>-0.158</v>
      </c>
      <c r="D48" s="17" t="n">
        <v>0.021</v>
      </c>
      <c r="E48" s="17" t="n">
        <v>-0.048</v>
      </c>
    </row>
    <row r="49">
      <c r="A49" s="10" t="inlineStr">
        <is>
          <t>PM Requirement (20%)</t>
        </is>
      </c>
      <c r="B49" s="11" t="n">
        <v>0</v>
      </c>
      <c r="C49" s="4" t="n">
        <v>52677.61</v>
      </c>
      <c r="D49" s="4" t="n">
        <v>35973.06</v>
      </c>
      <c r="E49" s="4" t="n">
        <v>198258.83</v>
      </c>
    </row>
    <row r="50">
      <c r="A50" s="12" t="inlineStr">
        <is>
          <t>Excess Liquidity 超额流动性</t>
        </is>
      </c>
      <c r="B50" s="13" t="n">
        <v>566922.75</v>
      </c>
      <c r="C50" s="13" t="n">
        <v>512936.87</v>
      </c>
      <c r="D50" s="13" t="n">
        <v>538722.17</v>
      </c>
      <c r="E50" s="13" t="n">
        <v>370958.62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4" t="n">
        <v>87124.84</v>
      </c>
      <c r="D55" s="4" t="n">
        <v>95884.24000000001</v>
      </c>
      <c r="E55" s="4" t="n">
        <v>482026.15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4" t="n">
        <v>87124.84</v>
      </c>
      <c r="D57" s="4" t="n">
        <v>95884.24000000001</v>
      </c>
      <c r="E57" s="4" t="n">
        <v>482026.15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4" t="n">
        <v>87124.84</v>
      </c>
      <c r="D59" s="4" t="n">
        <v>95884.24000000001</v>
      </c>
      <c r="E59" s="4" t="n">
        <v>482026.15</v>
      </c>
    </row>
    <row r="60">
      <c r="A60" s="12" t="inlineStr">
        <is>
          <t>Short Book — Allocated Capital 分配资本</t>
        </is>
      </c>
      <c r="B60" s="15" t="n">
        <v>0</v>
      </c>
      <c r="C60" s="13" t="n">
        <v>3525.26</v>
      </c>
      <c r="D60" s="13" t="n">
        <v>1679.62</v>
      </c>
      <c r="E60" s="13" t="n">
        <v>10185.36</v>
      </c>
    </row>
    <row r="61">
      <c r="A61" s="10" t="inlineStr">
        <is>
          <t>Short Book — Collateral 担保金</t>
        </is>
      </c>
      <c r="B61" s="11" t="n">
        <v>0</v>
      </c>
      <c r="C61" s="4" t="n">
        <v>3525.26</v>
      </c>
      <c r="D61" s="4" t="n">
        <v>1679.62</v>
      </c>
      <c r="E61" s="4" t="n">
        <v>10185.36</v>
      </c>
    </row>
    <row r="62">
      <c r="A62" s="12" t="inlineStr">
        <is>
          <t>Short Book — Short Proceeds 做空收入</t>
        </is>
      </c>
      <c r="B62" s="15" t="n">
        <v>0</v>
      </c>
      <c r="C62" s="13" t="n">
        <v>176263.22</v>
      </c>
      <c r="D62" s="13" t="n">
        <v>83981.03999999999</v>
      </c>
      <c r="E62" s="13" t="n">
        <v>509268.02</v>
      </c>
    </row>
    <row r="63">
      <c r="A63" s="10" t="inlineStr">
        <is>
          <t>Short Book — Market Value 市值(负债)</t>
        </is>
      </c>
      <c r="B63" s="11" t="n">
        <v>0</v>
      </c>
      <c r="C63" s="4" t="n">
        <v>176263.22</v>
      </c>
      <c r="D63" s="4" t="n">
        <v>83981.03999999999</v>
      </c>
      <c r="E63" s="4" t="n">
        <v>509268.02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4" t="n">
        <v>3525.26</v>
      </c>
      <c r="D65" s="4" t="n">
        <v>1679.62</v>
      </c>
      <c r="E65" s="4" t="n">
        <v>10185.36</v>
      </c>
    </row>
    <row r="66">
      <c r="A66" s="12" t="inlineStr">
        <is>
          <t>Unallocated Cash 未分配现金</t>
        </is>
      </c>
      <c r="B66" s="13" t="n">
        <v>566922.75</v>
      </c>
      <c r="C66" s="13" t="n">
        <v>474964.38</v>
      </c>
      <c r="D66" s="13" t="n">
        <v>477131.37</v>
      </c>
      <c r="E66" s="13" t="n">
        <v>77005.94</v>
      </c>
    </row>
    <row r="67">
      <c r="A67" s="16" t="inlineStr">
        <is>
          <t>Dual-View NAV 双账户法NAV</t>
        </is>
      </c>
      <c r="B67" s="4" t="n">
        <v>566922.75</v>
      </c>
      <c r="C67" s="4" t="n">
        <v>565614.48</v>
      </c>
      <c r="D67" s="4" t="n">
        <v>574695.23</v>
      </c>
      <c r="E67" s="4" t="n">
        <v>569217.45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40379.99</v>
      </c>
    </row>
    <row r="74">
      <c r="A74" s="12" t="inlineStr">
        <is>
          <t>Restricted Cash 受限现金 (PB 102%)</t>
        </is>
      </c>
      <c r="B74" s="13" t="n">
        <v>367779.86</v>
      </c>
      <c r="C74" s="13" t="n">
        <v>374687.6</v>
      </c>
      <c r="D74" s="13" t="n">
        <v>749231.9</v>
      </c>
      <c r="E74" s="13" t="n">
        <v>123432.44</v>
      </c>
    </row>
    <row r="75">
      <c r="A75" s="10" t="inlineStr">
        <is>
          <t>Long Securities 多头证券</t>
        </is>
      </c>
      <c r="B75" s="4" t="n">
        <v>835043.04</v>
      </c>
      <c r="C75" s="4" t="n">
        <v>791004.03</v>
      </c>
      <c r="D75" s="4" t="n">
        <v>1768657.61</v>
      </c>
      <c r="E75" s="4" t="n">
        <v>387204</v>
      </c>
    </row>
    <row r="76">
      <c r="A76" s="14" t="inlineStr">
        <is>
          <t>Total Assets 总资产</t>
        </is>
      </c>
      <c r="B76" s="13" t="n">
        <v>1202822.9</v>
      </c>
      <c r="C76" s="13" t="n">
        <v>1165691.63</v>
      </c>
      <c r="D76" s="13" t="n">
        <v>2517889.51</v>
      </c>
      <c r="E76" s="13" t="n">
        <v>551016.4300000001</v>
      </c>
    </row>
    <row r="77">
      <c r="A77" s="10" t="inlineStr">
        <is>
          <t>Short Securities 空头证券 (义务)</t>
        </is>
      </c>
      <c r="B77" s="4" t="n">
        <v>360568.49</v>
      </c>
      <c r="C77" s="4" t="n">
        <v>367340.78</v>
      </c>
      <c r="D77" s="4" t="n">
        <v>734541.08</v>
      </c>
      <c r="E77" s="4" t="n">
        <v>121012.2</v>
      </c>
    </row>
    <row r="78">
      <c r="A78" s="12" t="inlineStr">
        <is>
          <t>Margin Loan 保证金借款</t>
        </is>
      </c>
      <c r="B78" s="13" t="n">
        <v>273248.45</v>
      </c>
      <c r="C78" s="13" t="n">
        <v>309418.02</v>
      </c>
      <c r="D78" s="13" t="n">
        <v>1246173.99</v>
      </c>
      <c r="E78" s="15" t="n">
        <v>0</v>
      </c>
    </row>
    <row r="79">
      <c r="A79" s="16" t="inlineStr">
        <is>
          <t>Total Liabilities 总负债</t>
        </is>
      </c>
      <c r="B79" s="4" t="n">
        <v>633816.9399999999</v>
      </c>
      <c r="C79" s="4" t="n">
        <v>676758.8</v>
      </c>
      <c r="D79" s="4" t="n">
        <v>1980715.07</v>
      </c>
      <c r="E79" s="4" t="n">
        <v>121012.2</v>
      </c>
    </row>
    <row r="80">
      <c r="A80" s="14" t="inlineStr">
        <is>
          <t>NAV (Equity) 净值 = TA - TL</t>
        </is>
      </c>
      <c r="B80" s="13" t="n">
        <v>569005.96</v>
      </c>
      <c r="C80" s="13" t="n">
        <v>488932.83</v>
      </c>
      <c r="D80" s="13" t="n">
        <v>537174.4399999999</v>
      </c>
      <c r="E80" s="13" t="n">
        <v>430004.23</v>
      </c>
    </row>
    <row r="81">
      <c r="A81" s="10" t="inlineStr">
        <is>
          <t>Gross Leverage 总杠杆 (x)</t>
        </is>
      </c>
      <c r="B81" s="7" t="n">
        <v>2.101</v>
      </c>
      <c r="C81" s="7" t="n">
        <v>2.369</v>
      </c>
      <c r="D81" s="7" t="n">
        <v>4.66</v>
      </c>
      <c r="E81" s="7" t="n">
        <v>1.182</v>
      </c>
    </row>
    <row r="82">
      <c r="A82" s="12" t="inlineStr">
        <is>
          <t>Net Leverage 净杠杆 (x)</t>
        </is>
      </c>
      <c r="B82" s="17" t="n">
        <v>0.834</v>
      </c>
      <c r="C82" s="17" t="n">
        <v>0.867</v>
      </c>
      <c r="D82" s="17" t="n">
        <v>1.925</v>
      </c>
      <c r="E82" s="17" t="n">
        <v>0.619</v>
      </c>
    </row>
    <row r="83">
      <c r="A83" s="10" t="inlineStr">
        <is>
          <t>PM Requirement (20%)</t>
        </is>
      </c>
      <c r="B83" s="4" t="n">
        <v>239122.31</v>
      </c>
      <c r="C83" s="4" t="n">
        <v>231668.96</v>
      </c>
      <c r="D83" s="4" t="n">
        <v>500639.74</v>
      </c>
      <c r="E83" s="4" t="n">
        <v>101643.24</v>
      </c>
    </row>
    <row r="84">
      <c r="A84" s="12" t="inlineStr">
        <is>
          <t>Excess Liquidity 超额流动性</t>
        </is>
      </c>
      <c r="B84" s="13" t="n">
        <v>329883.65</v>
      </c>
      <c r="C84" s="13" t="n">
        <v>257263.87</v>
      </c>
      <c r="D84" s="13" t="n">
        <v>36534.7</v>
      </c>
      <c r="E84" s="13" t="n">
        <v>328360.99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569005.96</v>
      </c>
      <c r="C89" s="4" t="n">
        <v>488932.83</v>
      </c>
      <c r="D89" s="4" t="n">
        <v>537174.4399999999</v>
      </c>
      <c r="E89" s="4" t="n">
        <v>387204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835043.04</v>
      </c>
      <c r="C91" s="4" t="n">
        <v>791004.03</v>
      </c>
      <c r="D91" s="4" t="n">
        <v>1768657.61</v>
      </c>
      <c r="E91" s="4" t="n">
        <v>387204</v>
      </c>
    </row>
    <row r="92">
      <c r="A92" s="12" t="inlineStr">
        <is>
          <t>Long Book — Margin Loan 融资</t>
        </is>
      </c>
      <c r="B92" s="13" t="n">
        <v>266037.08</v>
      </c>
      <c r="C92" s="13" t="n">
        <v>302071.2</v>
      </c>
      <c r="D92" s="13" t="n">
        <v>1231483.17</v>
      </c>
      <c r="E92" s="15" t="n">
        <v>0</v>
      </c>
    </row>
    <row r="93">
      <c r="A93" s="16" t="inlineStr">
        <is>
          <t>Long Book — NAV</t>
        </is>
      </c>
      <c r="B93" s="4" t="n">
        <v>569005.96</v>
      </c>
      <c r="C93" s="4" t="n">
        <v>488932.83</v>
      </c>
      <c r="D93" s="4" t="n">
        <v>537174.4399999999</v>
      </c>
      <c r="E93" s="4" t="n">
        <v>387204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2420.24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2420.24</v>
      </c>
    </row>
    <row r="96">
      <c r="A96" s="12" t="inlineStr">
        <is>
          <t>Short Book — Short Proceeds 做空收入</t>
        </is>
      </c>
      <c r="B96" s="13" t="n">
        <v>360568.49</v>
      </c>
      <c r="C96" s="13" t="n">
        <v>367340.78</v>
      </c>
      <c r="D96" s="13" t="n">
        <v>734541.08</v>
      </c>
      <c r="E96" s="13" t="n">
        <v>121012.2</v>
      </c>
    </row>
    <row r="97">
      <c r="A97" s="10" t="inlineStr">
        <is>
          <t>Short Book — Market Value 市值(负债)</t>
        </is>
      </c>
      <c r="B97" s="4" t="n">
        <v>360568.49</v>
      </c>
      <c r="C97" s="4" t="n">
        <v>367340.78</v>
      </c>
      <c r="D97" s="4" t="n">
        <v>734541.08</v>
      </c>
      <c r="E97" s="4" t="n">
        <v>121012.2</v>
      </c>
    </row>
    <row r="98">
      <c r="A98" s="12" t="inlineStr">
        <is>
          <t>Short Book — Margin Loan 融资(2%)</t>
        </is>
      </c>
      <c r="B98" s="13" t="n">
        <v>7211.37</v>
      </c>
      <c r="C98" s="13" t="n">
        <v>7346.82</v>
      </c>
      <c r="D98" s="13" t="n">
        <v>14690.82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2420.24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40379.99</v>
      </c>
    </row>
    <row r="101">
      <c r="A101" s="16" t="inlineStr">
        <is>
          <t>Dual-View NAV 双账户法NAV</t>
        </is>
      </c>
      <c r="B101" s="4" t="n">
        <v>569005.96</v>
      </c>
      <c r="C101" s="4" t="n">
        <v>488932.83</v>
      </c>
      <c r="D101" s="4" t="n">
        <v>537174.4399999999</v>
      </c>
      <c r="E101" s="4" t="n">
        <v>430004.23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81381.41</v>
      </c>
      <c r="C5" s="4" t="n">
        <v>24059.05</v>
      </c>
      <c r="D5" s="4" t="n">
        <v>136707.04</v>
      </c>
      <c r="E5" s="4" t="n">
        <v>214429.93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70559.45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1308.27</v>
      </c>
      <c r="C11" s="18" t="n">
        <v>-7772.48</v>
      </c>
      <c r="D11" s="18" t="n">
        <v>-2294.7</v>
      </c>
      <c r="E11" s="4" t="n">
        <v>57590.81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80073.13</v>
      </c>
      <c r="C17" s="4" t="n">
        <v>31831.52</v>
      </c>
      <c r="D17" s="4" t="n">
        <v>139001.73</v>
      </c>
      <c r="E17" s="4" t="n">
        <v>156839.11</v>
      </c>
    </row>
    <row r="18">
      <c r="A18" s="12" t="inlineStr">
        <is>
          <t>Interest expense (est)</t>
        </is>
      </c>
      <c r="B18" s="15" t="n">
        <v>37.43</v>
      </c>
      <c r="C18" s="13" t="n">
        <v>187.16</v>
      </c>
      <c r="D18" s="13" t="n">
        <v>786.0599999999999</v>
      </c>
      <c r="E18" s="13" t="n">
        <v>5726.99</v>
      </c>
    </row>
    <row r="19">
      <c r="A19" s="10" t="inlineStr">
        <is>
          <t>Current unrealized PnL</t>
        </is>
      </c>
      <c r="B19" s="4" t="n">
        <v>70559.45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1054547.31</v>
      </c>
      <c r="C5" s="4" t="n">
        <v>1111869.67</v>
      </c>
      <c r="D5" s="4" t="n">
        <v>999221.6800000001</v>
      </c>
      <c r="E5" s="4" t="n">
        <v>921498.79</v>
      </c>
    </row>
    <row r="6">
      <c r="A6" s="12" t="inlineStr">
        <is>
          <t>Net income</t>
        </is>
      </c>
      <c r="B6" s="13" t="n">
        <v>81381.41</v>
      </c>
      <c r="C6" s="13" t="n">
        <v>24059.05</v>
      </c>
      <c r="D6" s="13" t="n">
        <v>136707.04</v>
      </c>
      <c r="E6" s="13" t="n">
        <v>214429.93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1135928.72</v>
      </c>
      <c r="C9" s="4" t="n">
        <v>1135928.72</v>
      </c>
      <c r="D9" s="4" t="n">
        <v>1135928.72</v>
      </c>
      <c r="E9" s="4" t="n">
        <v>1135928.72</v>
      </c>
    </row>
    <row r="10">
      <c r="A10" s="12" t="inlineStr">
        <is>
          <t>Return (%)</t>
        </is>
      </c>
      <c r="B10" s="19" t="n">
        <v>7.72</v>
      </c>
      <c r="C10" s="19" t="n">
        <v>2.16</v>
      </c>
      <c r="D10" s="19" t="n">
        <v>13.68</v>
      </c>
      <c r="E10" s="19" t="n">
        <v>23.27</v>
      </c>
    </row>
    <row r="11">
      <c r="A11" s="10" t="inlineStr">
        <is>
          <t>Max drawdown (%)</t>
        </is>
      </c>
      <c r="B11" s="20" t="n">
        <v>0</v>
      </c>
      <c r="C11" s="21" t="n">
        <v>-9.41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565614.48</v>
      </c>
      <c r="C15" s="4" t="n">
        <v>574695.23</v>
      </c>
      <c r="D15" s="4" t="n">
        <v>569217.45</v>
      </c>
      <c r="E15" s="4" t="n">
        <v>509331.94</v>
      </c>
    </row>
    <row r="16">
      <c r="A16" s="12" t="inlineStr">
        <is>
          <t>Net income</t>
        </is>
      </c>
      <c r="B16" s="13" t="n">
        <v>1308.27</v>
      </c>
      <c r="C16" s="22" t="n">
        <v>-7772.48</v>
      </c>
      <c r="D16" s="22" t="n">
        <v>-2294.7</v>
      </c>
      <c r="E16" s="13" t="n">
        <v>57590.81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566922.75</v>
      </c>
      <c r="C19" s="4" t="n">
        <v>566922.75</v>
      </c>
      <c r="D19" s="4" t="n">
        <v>566922.75</v>
      </c>
      <c r="E19" s="4" t="n">
        <v>566922.75</v>
      </c>
    </row>
    <row r="20">
      <c r="A20" s="12" t="inlineStr">
        <is>
          <t>Return (%)</t>
        </is>
      </c>
      <c r="B20" s="19" t="n">
        <v>0.23</v>
      </c>
      <c r="C20" s="23" t="n">
        <v>-1.35</v>
      </c>
      <c r="D20" s="23" t="n">
        <v>-0.4</v>
      </c>
      <c r="E20" s="19" t="n">
        <v>11.31</v>
      </c>
    </row>
    <row r="21">
      <c r="A21" s="10" t="inlineStr">
        <is>
          <t>Max drawdown (%)</t>
        </is>
      </c>
      <c r="B21" s="20" t="n">
        <v>0</v>
      </c>
      <c r="C21" s="21" t="n">
        <v>-1.58</v>
      </c>
      <c r="D21" s="21" t="n">
        <v>-3.55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488932.83</v>
      </c>
      <c r="C25" s="4" t="n">
        <v>537174.4399999999</v>
      </c>
      <c r="D25" s="4" t="n">
        <v>430004.23</v>
      </c>
      <c r="E25" s="4" t="n">
        <v>412166.85</v>
      </c>
    </row>
    <row r="26">
      <c r="A26" s="12" t="inlineStr">
        <is>
          <t>Net income</t>
        </is>
      </c>
      <c r="B26" s="13" t="n">
        <v>80073.13</v>
      </c>
      <c r="C26" s="13" t="n">
        <v>31831.52</v>
      </c>
      <c r="D26" s="13" t="n">
        <v>139001.73</v>
      </c>
      <c r="E26" s="13" t="n">
        <v>156839.11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569005.96</v>
      </c>
      <c r="C29" s="4" t="n">
        <v>569005.96</v>
      </c>
      <c r="D29" s="4" t="n">
        <v>569005.96</v>
      </c>
      <c r="E29" s="4" t="n">
        <v>569005.96</v>
      </c>
    </row>
    <row r="30">
      <c r="A30" s="12" t="inlineStr">
        <is>
          <t>Return (%)</t>
        </is>
      </c>
      <c r="B30" s="19" t="n">
        <v>16.38</v>
      </c>
      <c r="C30" s="19" t="n">
        <v>5.93</v>
      </c>
      <c r="D30" s="19" t="n">
        <v>32.33</v>
      </c>
      <c r="E30" s="19" t="n">
        <v>38.05</v>
      </c>
    </row>
    <row r="31">
      <c r="A31" s="10" t="inlineStr">
        <is>
          <t>Max drawdown (%)</t>
        </is>
      </c>
      <c r="B31" s="20" t="n">
        <v>0</v>
      </c>
      <c r="C31" s="21" t="n">
        <v>-18.48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24059.05</v>
      </c>
    </row>
    <row r="5">
      <c r="A5" s="3" t="inlineStr">
        <is>
          <t>Investing cash flow</t>
        </is>
      </c>
      <c r="B5" s="4" t="n">
        <v>571545.1800000001</v>
      </c>
    </row>
    <row r="6">
      <c r="A6" s="3" t="inlineStr">
        <is>
          <t>Financing cash flow</t>
        </is>
      </c>
      <c r="B6" s="18" t="n">
        <v>-769042.62</v>
      </c>
    </row>
    <row r="7">
      <c r="A7" s="3" t="inlineStr">
        <is>
          <t>Net change in cash</t>
        </is>
      </c>
      <c r="B7" s="18" t="n">
        <v>-173438.39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293674.31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3" t="n">
        <v>1054547.31</v>
      </c>
    </row>
    <row r="156">
      <c r="A156" s="10" t="inlineStr">
        <is>
          <t>2026-06-11</t>
        </is>
      </c>
      <c r="B156" s="4" t="n">
        <v>1135928.72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1135928.72</v>
      </c>
      <c r="C4" s="4" t="n">
        <v>835043.04</v>
      </c>
      <c r="D4" s="4" t="n">
        <v>360568.49</v>
      </c>
      <c r="E4" s="4" t="n">
        <v>1195611.53</v>
      </c>
      <c r="F4" s="4" t="n">
        <v>474474.55</v>
      </c>
      <c r="G4" s="5" t="n">
        <v>1.053</v>
      </c>
      <c r="H4" s="5" t="n">
        <v>0.418</v>
      </c>
      <c r="I4" s="5" t="n">
        <v>105.25</v>
      </c>
      <c r="J4" s="5" t="n">
        <v>52.63</v>
      </c>
      <c r="K4" s="24" t="n">
        <v>8</v>
      </c>
    </row>
    <row r="5">
      <c r="A5" s="12" t="inlineStr">
        <is>
          <t>MRPT</t>
        </is>
      </c>
      <c r="B5" s="13" t="n">
        <v>566922.75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569005.96</v>
      </c>
      <c r="C6" s="4" t="n">
        <v>835043.04</v>
      </c>
      <c r="D6" s="4" t="n">
        <v>360568.49</v>
      </c>
      <c r="E6" s="4" t="n">
        <v>1195611.53</v>
      </c>
      <c r="F6" s="4" t="n">
        <v>474474.55</v>
      </c>
      <c r="G6" s="5" t="n">
        <v>2.101</v>
      </c>
      <c r="H6" s="5" t="n">
        <v>0.834</v>
      </c>
      <c r="I6" s="5" t="n">
        <v>210.12</v>
      </c>
      <c r="J6" s="5" t="n">
        <v>105.06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HHI=0.1377  ·  effective N pairs=7.3  ·  max pair=21.13%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STLD</t>
        </is>
      </c>
      <c r="B6" s="4" t="n">
        <v>283463.7</v>
      </c>
      <c r="C6" s="4" t="n">
        <v>283463.7</v>
      </c>
      <c r="D6" s="20" t="n">
        <v>24.95</v>
      </c>
      <c r="E6" s="20" t="n">
        <v>23.71</v>
      </c>
      <c r="F6" s="24" t="n">
        <v>2</v>
      </c>
    </row>
    <row r="7">
      <c r="A7" s="12" t="inlineStr">
        <is>
          <t>KLAC</t>
        </is>
      </c>
      <c r="B7" s="13" t="n">
        <v>274926.96</v>
      </c>
      <c r="C7" s="13" t="n">
        <v>274926.96</v>
      </c>
      <c r="D7" s="19" t="n">
        <v>24.2</v>
      </c>
      <c r="E7" s="19" t="n">
        <v>22.99</v>
      </c>
      <c r="F7" s="26" t="n">
        <v>2</v>
      </c>
    </row>
    <row r="8">
      <c r="A8" s="10" t="inlineStr">
        <is>
          <t>NUE</t>
        </is>
      </c>
      <c r="B8" s="4" t="n">
        <v>171672.2</v>
      </c>
      <c r="C8" s="4" t="n">
        <v>171672.2</v>
      </c>
      <c r="D8" s="20" t="n">
        <v>15.11</v>
      </c>
      <c r="E8" s="20" t="n">
        <v>14.36</v>
      </c>
      <c r="F8" s="24" t="n">
        <v>2</v>
      </c>
    </row>
    <row r="9">
      <c r="A9" s="12" t="inlineStr">
        <is>
          <t>FMC</t>
        </is>
      </c>
      <c r="B9" s="13" t="n">
        <v>77120.61</v>
      </c>
      <c r="C9" s="22" t="n">
        <v>-77120.61</v>
      </c>
      <c r="D9" s="19" t="n">
        <v>6.79</v>
      </c>
      <c r="E9" s="19" t="n">
        <v>6.45</v>
      </c>
      <c r="F9" s="26" t="n">
        <v>1</v>
      </c>
    </row>
    <row r="10">
      <c r="A10" s="10" t="inlineStr">
        <is>
          <t>HST</t>
        </is>
      </c>
      <c r="B10" s="4" t="n">
        <v>54691.98</v>
      </c>
      <c r="C10" s="4" t="n">
        <v>54691.98</v>
      </c>
      <c r="D10" s="20" t="n">
        <v>4.81</v>
      </c>
      <c r="E10" s="20" t="n">
        <v>4.57</v>
      </c>
      <c r="F10" s="24" t="n">
        <v>1</v>
      </c>
    </row>
    <row r="11">
      <c r="A11" s="12" t="inlineStr">
        <is>
          <t>UHS</t>
        </is>
      </c>
      <c r="B11" s="13" t="n">
        <v>52285.9</v>
      </c>
      <c r="C11" s="22" t="n">
        <v>-52285.9</v>
      </c>
      <c r="D11" s="19" t="n">
        <v>4.6</v>
      </c>
      <c r="E11" s="19" t="n">
        <v>4.37</v>
      </c>
      <c r="F11" s="26" t="n">
        <v>1</v>
      </c>
    </row>
    <row r="12">
      <c r="A12" s="10" t="inlineStr">
        <is>
          <t>ULTA</t>
        </is>
      </c>
      <c r="B12" s="4" t="n">
        <v>50976.94</v>
      </c>
      <c r="C12" s="18" t="n">
        <v>-50976.94</v>
      </c>
      <c r="D12" s="20" t="n">
        <v>4.49</v>
      </c>
      <c r="E12" s="20" t="n">
        <v>4.26</v>
      </c>
      <c r="F12" s="24" t="n">
        <v>1</v>
      </c>
    </row>
    <row r="13">
      <c r="A13" s="12" t="inlineStr">
        <is>
          <t>UNH</t>
        </is>
      </c>
      <c r="B13" s="13" t="n">
        <v>50288.2</v>
      </c>
      <c r="C13" s="13" t="n">
        <v>50288.2</v>
      </c>
      <c r="D13" s="19" t="n">
        <v>4.43</v>
      </c>
      <c r="E13" s="19" t="n">
        <v>4.21</v>
      </c>
      <c r="F13" s="26" t="n">
        <v>1</v>
      </c>
    </row>
    <row r="14">
      <c r="A14" s="10" t="inlineStr">
        <is>
          <t>MKTX</t>
        </is>
      </c>
      <c r="B14" s="4" t="n">
        <v>49091.26</v>
      </c>
      <c r="C14" s="18" t="n">
        <v>-49091.26</v>
      </c>
      <c r="D14" s="20" t="n">
        <v>4.32</v>
      </c>
      <c r="E14" s="20" t="n">
        <v>4.11</v>
      </c>
      <c r="F14" s="24" t="n">
        <v>1</v>
      </c>
    </row>
    <row r="15">
      <c r="A15" s="12" t="inlineStr">
        <is>
          <t>TRMB</t>
        </is>
      </c>
      <c r="B15" s="13" t="n">
        <v>48600</v>
      </c>
      <c r="C15" s="22" t="n">
        <v>-48600</v>
      </c>
      <c r="D15" s="19" t="n">
        <v>4.28</v>
      </c>
      <c r="E15" s="19" t="n">
        <v>4.06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materials</t>
        </is>
      </c>
      <c r="B20" s="4" t="n">
        <v>455135.9</v>
      </c>
      <c r="C20" s="11" t="n">
        <v>0</v>
      </c>
      <c r="D20" s="4" t="n">
        <v>455135.9</v>
      </c>
      <c r="E20" s="7" t="n">
        <v>38.07</v>
      </c>
    </row>
    <row r="21">
      <c r="A21" s="12" t="inlineStr">
        <is>
          <t>tech</t>
        </is>
      </c>
      <c r="B21" s="13" t="n">
        <v>274926.96</v>
      </c>
      <c r="C21" s="13" t="n">
        <v>71797.88</v>
      </c>
      <c r="D21" s="13" t="n">
        <v>203129.08</v>
      </c>
      <c r="E21" s="17" t="n">
        <v>16.99</v>
      </c>
    </row>
    <row r="22">
      <c r="A22" s="10" t="inlineStr">
        <is>
          <t>food</t>
        </is>
      </c>
      <c r="B22" s="11" t="n">
        <v>0</v>
      </c>
      <c r="C22" s="4" t="n">
        <v>173820.67</v>
      </c>
      <c r="D22" s="18" t="n">
        <v>-173820.67</v>
      </c>
      <c r="E22" s="7" t="n">
        <v>-14.54</v>
      </c>
    </row>
    <row r="23">
      <c r="A23" s="12" t="inlineStr">
        <is>
          <t>realestate</t>
        </is>
      </c>
      <c r="B23" s="13" t="n">
        <v>54691.98</v>
      </c>
      <c r="C23" s="15" t="n">
        <v>0</v>
      </c>
      <c r="D23" s="13" t="n">
        <v>54691.98</v>
      </c>
      <c r="E23" s="17" t="n">
        <v>4.57</v>
      </c>
    </row>
    <row r="24">
      <c r="A24" s="10" t="inlineStr">
        <is>
          <t>industrial</t>
        </is>
      </c>
      <c r="B24" s="11" t="n">
        <v>0</v>
      </c>
      <c r="C24" s="4" t="n">
        <v>48600</v>
      </c>
      <c r="D24" s="18" t="n">
        <v>-48600</v>
      </c>
      <c r="E24" s="7" t="n">
        <v>-4.06</v>
      </c>
    </row>
    <row r="25">
      <c r="A25" s="12" t="inlineStr">
        <is>
          <t>health</t>
        </is>
      </c>
      <c r="B25" s="13" t="n">
        <v>50288.2</v>
      </c>
      <c r="C25" s="13" t="n">
        <v>66349.94</v>
      </c>
      <c r="D25" s="22" t="n">
        <v>-16061.74</v>
      </c>
      <c r="E25" s="17" t="n">
        <v>-1.34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0.901</v>
      </c>
    </row>
    <row r="4">
      <c r="A4" s="3" t="inlineStr">
        <is>
          <t>Gross beta</t>
        </is>
      </c>
      <c r="B4" s="5" t="n">
        <v>1.353</v>
      </c>
    </row>
    <row r="5">
      <c r="A5" s="3" t="inlineStr">
        <is>
          <t>Momentum factor net (% NAV)</t>
        </is>
      </c>
      <c r="B5" s="5" t="n">
        <v>41.77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materials</t>
        </is>
      </c>
      <c r="B10" s="20" t="n">
        <v>38.07</v>
      </c>
    </row>
    <row r="11">
      <c r="A11" s="12" t="inlineStr">
        <is>
          <t>tech</t>
        </is>
      </c>
      <c r="B11" s="19" t="n">
        <v>16.99</v>
      </c>
    </row>
    <row r="12">
      <c r="A12" s="10" t="inlineStr">
        <is>
          <t>food</t>
        </is>
      </c>
      <c r="B12" s="21" t="n">
        <v>-14.54</v>
      </c>
    </row>
    <row r="13">
      <c r="A13" s="12" t="inlineStr">
        <is>
          <t>realestate</t>
        </is>
      </c>
      <c r="B13" s="19" t="n">
        <v>4.57</v>
      </c>
    </row>
    <row r="14">
      <c r="A14" s="10" t="inlineStr">
        <is>
          <t>industrial</t>
        </is>
      </c>
      <c r="B14" s="21" t="n">
        <v>-4.06</v>
      </c>
    </row>
    <row r="15">
      <c r="A15" s="12" t="inlineStr">
        <is>
          <t>health</t>
        </is>
      </c>
      <c r="B15" s="23" t="n">
        <v>-1.34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22575.01</v>
      </c>
    </row>
    <row r="4">
      <c r="A4" s="3" t="inlineStr">
        <is>
          <t>Parametric VaR 99% 1d ($)</t>
        </is>
      </c>
      <c r="B4" s="4" t="n">
        <v>31920.66</v>
      </c>
    </row>
    <row r="5">
      <c r="A5" s="3" t="inlineStr">
        <is>
          <t>Annual vol ($)</t>
        </is>
      </c>
      <c r="B5" s="4" t="n">
        <v>217852.43</v>
      </c>
    </row>
    <row r="6">
      <c r="A6" s="3" t="inlineStr">
        <is>
          <t>Annual vol (% NAV)</t>
        </is>
      </c>
      <c r="B6" s="5" t="n">
        <v>19.18</v>
      </c>
    </row>
    <row r="7">
      <c r="A7" s="3" t="inlineStr">
        <is>
          <t>Historical VaR 95% 1d ($)</t>
        </is>
      </c>
      <c r="B7" s="4" t="n">
        <v>12071.51</v>
      </c>
    </row>
    <row r="8">
      <c r="A8" s="3" t="inlineStr">
        <is>
          <t>Historical CVaR 95% 1d ($)</t>
        </is>
      </c>
      <c r="B8" s="4" t="n">
        <v>20918.66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6011.13</v>
      </c>
      <c r="C12" s="7" t="n">
        <v>26.63</v>
      </c>
    </row>
    <row r="13">
      <c r="A13" s="12" t="inlineStr">
        <is>
          <t>STLD/FMC</t>
        </is>
      </c>
      <c r="B13" s="13" t="n">
        <v>5544.43</v>
      </c>
      <c r="C13" s="17" t="n">
        <v>24.56</v>
      </c>
    </row>
    <row r="14">
      <c r="A14" s="10" t="inlineStr">
        <is>
          <t>KLAC/TRMB</t>
        </is>
      </c>
      <c r="B14" s="4" t="n">
        <v>4276.16</v>
      </c>
      <c r="C14" s="7" t="n">
        <v>18.94</v>
      </c>
    </row>
    <row r="15">
      <c r="A15" s="12" t="inlineStr">
        <is>
          <t>STLD/UHS</t>
        </is>
      </c>
      <c r="B15" s="13" t="n">
        <v>2440.66</v>
      </c>
      <c r="C15" s="17" t="n">
        <v>10.81</v>
      </c>
    </row>
    <row r="16">
      <c r="A16" s="10" t="inlineStr">
        <is>
          <t>NUE/INTU</t>
        </is>
      </c>
      <c r="B16" s="4" t="n">
        <v>1875.88</v>
      </c>
      <c r="C16" s="7" t="n">
        <v>8.31</v>
      </c>
    </row>
    <row r="17">
      <c r="A17" s="12" t="inlineStr">
        <is>
          <t>NUE/MKTX</t>
        </is>
      </c>
      <c r="B17" s="13" t="n">
        <v>1839.39</v>
      </c>
      <c r="C17" s="17" t="n">
        <v>8.15</v>
      </c>
    </row>
    <row r="18">
      <c r="A18" s="10" t="inlineStr">
        <is>
          <t>HST/MOS</t>
        </is>
      </c>
      <c r="B18" s="4" t="n">
        <v>446.82</v>
      </c>
      <c r="C18" s="7" t="n">
        <v>1.98</v>
      </c>
    </row>
    <row r="19">
      <c r="A19" s="12" t="inlineStr">
        <is>
          <t>UNH/ULTA</t>
        </is>
      </c>
      <c r="B19" s="13" t="n">
        <v>140.54</v>
      </c>
      <c r="C19" s="17" t="n">
        <v>0.62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3175811</v>
      </c>
      <c r="E6" s="7" t="n">
        <v>0.01</v>
      </c>
    </row>
    <row r="7">
      <c r="A7" s="12" t="inlineStr">
        <is>
          <t>KLAC</t>
        </is>
      </c>
      <c r="B7" s="17" t="inlineStr">
        <is>
          <t>KLAC/REGN</t>
        </is>
      </c>
      <c r="C7" s="13" t="n">
        <v>670</v>
      </c>
      <c r="D7" s="13" t="n">
        <v>3884142</v>
      </c>
      <c r="E7" s="17" t="n">
        <v>0</v>
      </c>
    </row>
    <row r="8">
      <c r="A8" s="10" t="inlineStr">
        <is>
          <t>REGN</t>
        </is>
      </c>
      <c r="B8" s="7" t="inlineStr">
        <is>
          <t>KLAC/REGN</t>
        </is>
      </c>
      <c r="C8" s="11" t="n">
        <v>23</v>
      </c>
      <c r="D8" s="4" t="n">
        <v>1120098</v>
      </c>
      <c r="E8" s="7" t="n">
        <v>0</v>
      </c>
    </row>
    <row r="9">
      <c r="A9" s="12" t="inlineStr">
        <is>
          <t>NUE</t>
        </is>
      </c>
      <c r="B9" s="17" t="inlineStr">
        <is>
          <t>NUE/INTU</t>
        </is>
      </c>
      <c r="C9" s="13" t="n">
        <v>329</v>
      </c>
      <c r="D9" s="13" t="n">
        <v>1413116</v>
      </c>
      <c r="E9" s="17" t="n">
        <v>0</v>
      </c>
    </row>
    <row r="10">
      <c r="A10" s="10" t="inlineStr">
        <is>
          <t>INTU</t>
        </is>
      </c>
      <c r="B10" s="7" t="inlineStr">
        <is>
          <t>NUE/INTU</t>
        </is>
      </c>
      <c r="C10" s="11" t="n">
        <v>82</v>
      </c>
      <c r="D10" s="4" t="n">
        <v>6343811</v>
      </c>
      <c r="E10" s="7" t="n">
        <v>0</v>
      </c>
    </row>
    <row r="11">
      <c r="A11" s="12" t="inlineStr">
        <is>
          <t>NUE</t>
        </is>
      </c>
      <c r="B11" s="17" t="inlineStr">
        <is>
          <t>NUE/MKTX</t>
        </is>
      </c>
      <c r="C11" s="13" t="n">
        <v>329</v>
      </c>
      <c r="D11" s="13" t="n">
        <v>1413116</v>
      </c>
      <c r="E11" s="17" t="n">
        <v>0</v>
      </c>
    </row>
    <row r="12">
      <c r="A12" s="10" t="inlineStr">
        <is>
          <t>MKTX</t>
        </is>
      </c>
      <c r="B12" s="7" t="inlineStr">
        <is>
          <t>NUE/MKTX</t>
        </is>
      </c>
      <c r="C12" s="4" t="n">
        <v>422</v>
      </c>
      <c r="D12" s="4" t="n">
        <v>733004</v>
      </c>
      <c r="E12" s="7" t="n">
        <v>0</v>
      </c>
    </row>
    <row r="13">
      <c r="A13" s="12" t="inlineStr">
        <is>
          <t>STLD</t>
        </is>
      </c>
      <c r="B13" s="17" t="inlineStr">
        <is>
          <t>STLD/UHS</t>
        </is>
      </c>
      <c r="C13" s="13" t="n">
        <v>386</v>
      </c>
      <c r="D13" s="13" t="n">
        <v>1084242</v>
      </c>
      <c r="E13" s="17" t="n">
        <v>0</v>
      </c>
    </row>
    <row r="14">
      <c r="A14" s="10" t="inlineStr">
        <is>
          <t>UHS</t>
        </is>
      </c>
      <c r="B14" s="7" t="inlineStr">
        <is>
          <t>STLD/UHS</t>
        </is>
      </c>
      <c r="C14" s="4" t="n">
        <v>358</v>
      </c>
      <c r="D14" s="4" t="n">
        <v>1020899</v>
      </c>
      <c r="E14" s="7" t="n">
        <v>0</v>
      </c>
    </row>
    <row r="15">
      <c r="A15" s="12" t="inlineStr">
        <is>
          <t>STLD</t>
        </is>
      </c>
      <c r="B15" s="17" t="inlineStr">
        <is>
          <t>STLD/FMC</t>
        </is>
      </c>
      <c r="C15" s="13" t="n">
        <v>628</v>
      </c>
      <c r="D15" s="13" t="n">
        <v>1084242</v>
      </c>
      <c r="E15" s="17" t="n">
        <v>0</v>
      </c>
    </row>
    <row r="16">
      <c r="A16" s="10" t="inlineStr">
        <is>
          <t>HST</t>
        </is>
      </c>
      <c r="B16" s="7" t="inlineStr">
        <is>
          <t>HST/MOS</t>
        </is>
      </c>
      <c r="C16" s="4" t="n">
        <v>2247</v>
      </c>
      <c r="D16" s="4" t="n">
        <v>8911097</v>
      </c>
      <c r="E16" s="7" t="n">
        <v>0</v>
      </c>
    </row>
    <row r="17">
      <c r="A17" s="12" t="inlineStr">
        <is>
          <t>MOS</t>
        </is>
      </c>
      <c r="B17" s="17" t="inlineStr">
        <is>
          <t>HST/MOS</t>
        </is>
      </c>
      <c r="C17" s="13" t="n">
        <v>2168</v>
      </c>
      <c r="D17" s="13" t="n">
        <v>9096941</v>
      </c>
      <c r="E17" s="17" t="n">
        <v>0</v>
      </c>
    </row>
    <row r="18">
      <c r="A18" s="10" t="inlineStr">
        <is>
          <t>KLAC</t>
        </is>
      </c>
      <c r="B18" s="7" t="inlineStr">
        <is>
          <t>KLAC/TRMB</t>
        </is>
      </c>
      <c r="C18" s="4" t="n">
        <v>470</v>
      </c>
      <c r="D18" s="4" t="n">
        <v>3884142</v>
      </c>
      <c r="E18" s="7" t="n">
        <v>0</v>
      </c>
    </row>
    <row r="19">
      <c r="A19" s="12" t="inlineStr">
        <is>
          <t>TRMB</t>
        </is>
      </c>
      <c r="B19" s="17" t="inlineStr">
        <is>
          <t>KLAC/TRMB</t>
        </is>
      </c>
      <c r="C19" s="13" t="n">
        <v>972</v>
      </c>
      <c r="D19" s="13" t="n">
        <v>2817714</v>
      </c>
      <c r="E19" s="17" t="n">
        <v>0</v>
      </c>
    </row>
    <row r="20">
      <c r="A20" s="10" t="inlineStr">
        <is>
          <t>UNH</t>
        </is>
      </c>
      <c r="B20" s="7" t="inlineStr">
        <is>
          <t>UNH/ULTA</t>
        </is>
      </c>
      <c r="C20" s="4" t="n">
        <v>124</v>
      </c>
      <c r="D20" s="4" t="n">
        <v>7011122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-51173.59</v>
      </c>
      <c r="C4" s="21" t="n">
        <v>-4.51</v>
      </c>
    </row>
    <row r="5">
      <c r="A5" s="12" t="inlineStr">
        <is>
          <t>SPY -10%</t>
        </is>
      </c>
      <c r="B5" s="22" t="n">
        <v>-102347.18</v>
      </c>
      <c r="C5" s="23" t="n">
        <v>-9.01</v>
      </c>
    </row>
    <row r="6">
      <c r="A6" s="10" t="inlineStr">
        <is>
          <t>VIX +10pt</t>
        </is>
      </c>
      <c r="B6" s="18" t="n">
        <v>-51173.59</v>
      </c>
      <c r="C6" s="21" t="n">
        <v>-4.51</v>
      </c>
    </row>
    <row r="7">
      <c r="A7" s="12" t="inlineStr">
        <is>
          <t>Top sector -10%</t>
        </is>
      </c>
      <c r="B7" s="22" t="n">
        <v>-45513.59</v>
      </c>
      <c r="C7" s="23" t="n">
        <v>-4.01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2.1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0.83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1" t="inlineStr">
        <is>
          <t>single_name_gross</t>
        </is>
      </c>
      <c r="B8" s="32" t="inlineStr">
        <is>
          <t>STLD</t>
        </is>
      </c>
      <c r="C8" s="32" t="n">
        <v>24.95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KLAC</t>
        </is>
      </c>
      <c r="C9" s="32" t="n">
        <v>24.2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31" t="inlineStr">
        <is>
          <t>single_name_gross</t>
        </is>
      </c>
      <c r="B10" s="32" t="inlineStr">
        <is>
          <t>NUE</t>
        </is>
      </c>
      <c r="C10" s="32" t="n">
        <v>15.11</v>
      </c>
      <c r="D10" s="32" t="n">
        <v>15</v>
      </c>
      <c r="E10" s="32" t="n">
        <v>25</v>
      </c>
      <c r="F10" s="32" t="inlineStr">
        <is>
          <t>amber</t>
        </is>
      </c>
    </row>
    <row r="11">
      <c r="A11" s="31" t="inlineStr">
        <is>
          <t>sector_net</t>
        </is>
      </c>
      <c r="B11" s="32" t="inlineStr">
        <is>
          <t>materials</t>
        </is>
      </c>
      <c r="C11" s="32" t="n">
        <v>38.07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21.13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0.9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1.99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KLAC/REGN</t>
        </is>
      </c>
      <c r="C4" s="17" t="inlineStr">
        <is>
          <t>KLAC</t>
        </is>
      </c>
      <c r="D4" s="17" t="inlineStr">
        <is>
          <t>long</t>
        </is>
      </c>
      <c r="E4" s="26" t="n">
        <v>670</v>
      </c>
      <c r="F4" s="13" t="n">
        <v>241.16</v>
      </c>
      <c r="G4" s="13" t="n">
        <v>161579.88</v>
      </c>
      <c r="H4" s="17" t="inlineStr">
        <is>
          <t>tech</t>
        </is>
      </c>
      <c r="I4" s="17" t="n">
        <v>0</v>
      </c>
      <c r="J4" s="17" t="inlineStr">
        <is>
          <t>beta_neutral_long_term</t>
        </is>
      </c>
    </row>
    <row r="5">
      <c r="A5" s="10" t="inlineStr">
        <is>
          <t>MTFS</t>
        </is>
      </c>
      <c r="B5" s="7" t="inlineStr">
        <is>
          <t>KLAC/REGN</t>
        </is>
      </c>
      <c r="C5" s="7" t="inlineStr">
        <is>
          <t>REGN</t>
        </is>
      </c>
      <c r="D5" s="7" t="inlineStr">
        <is>
          <t>short</t>
        </is>
      </c>
      <c r="E5" s="24" t="n">
        <v>-23</v>
      </c>
      <c r="F5" s="4" t="n">
        <v>611.48</v>
      </c>
      <c r="G5" s="18" t="n">
        <v>-14064.04</v>
      </c>
      <c r="H5" s="7" t="inlineStr">
        <is>
          <t>health</t>
        </is>
      </c>
      <c r="I5" s="7" t="n">
        <v>0</v>
      </c>
      <c r="J5" s="7" t="inlineStr">
        <is>
          <t>beta_neutral_long_term</t>
        </is>
      </c>
    </row>
    <row r="6">
      <c r="A6" s="12" t="inlineStr">
        <is>
          <t>MTFS</t>
        </is>
      </c>
      <c r="B6" s="17" t="inlineStr">
        <is>
          <t>NUE/INTU</t>
        </is>
      </c>
      <c r="C6" s="17" t="inlineStr">
        <is>
          <t>NUE</t>
        </is>
      </c>
      <c r="D6" s="17" t="inlineStr">
        <is>
          <t>long</t>
        </is>
      </c>
      <c r="E6" s="26" t="n">
        <v>329</v>
      </c>
      <c r="F6" s="13" t="n">
        <v>260.9</v>
      </c>
      <c r="G6" s="13" t="n">
        <v>85836.10000000001</v>
      </c>
      <c r="H6" s="17" t="inlineStr">
        <is>
          <t>materials</t>
        </is>
      </c>
      <c r="I6" s="17" t="n">
        <v>0</v>
      </c>
      <c r="J6" s="17" t="inlineStr">
        <is>
          <t>conservative</t>
        </is>
      </c>
    </row>
    <row r="7">
      <c r="A7" s="10" t="inlineStr">
        <is>
          <t>MTFS</t>
        </is>
      </c>
      <c r="B7" s="7" t="inlineStr">
        <is>
          <t>NUE/INTU</t>
        </is>
      </c>
      <c r="C7" s="7" t="inlineStr">
        <is>
          <t>INTU</t>
        </is>
      </c>
      <c r="D7" s="7" t="inlineStr">
        <is>
          <t>short</t>
        </is>
      </c>
      <c r="E7" s="24" t="n">
        <v>-82</v>
      </c>
      <c r="F7" s="4" t="n">
        <v>276.91</v>
      </c>
      <c r="G7" s="18" t="n">
        <v>-22706.62</v>
      </c>
      <c r="H7" s="7" t="inlineStr">
        <is>
          <t>tech</t>
        </is>
      </c>
      <c r="I7" s="7" t="n">
        <v>0</v>
      </c>
      <c r="J7" s="7" t="inlineStr">
        <is>
          <t>conservative</t>
        </is>
      </c>
    </row>
    <row r="8">
      <c r="A8" s="12" t="inlineStr">
        <is>
          <t>MTFS</t>
        </is>
      </c>
      <c r="B8" s="17" t="inlineStr">
        <is>
          <t>NUE/MKTX</t>
        </is>
      </c>
      <c r="C8" s="17" t="inlineStr">
        <is>
          <t>NUE</t>
        </is>
      </c>
      <c r="D8" s="17" t="inlineStr">
        <is>
          <t>long</t>
        </is>
      </c>
      <c r="E8" s="26" t="n">
        <v>329</v>
      </c>
      <c r="F8" s="13" t="n">
        <v>260.9</v>
      </c>
      <c r="G8" s="13" t="n">
        <v>85836.10000000001</v>
      </c>
      <c r="H8" s="17" t="inlineStr">
        <is>
          <t>materials</t>
        </is>
      </c>
      <c r="I8" s="17" t="n">
        <v>0</v>
      </c>
      <c r="J8" s="17" t="inlineStr">
        <is>
          <t>weekly_aligned_windows</t>
        </is>
      </c>
    </row>
    <row r="9">
      <c r="A9" s="10" t="inlineStr">
        <is>
          <t>MTFS</t>
        </is>
      </c>
      <c r="B9" s="7" t="inlineStr">
        <is>
          <t>NUE/MKTX</t>
        </is>
      </c>
      <c r="C9" s="7" t="inlineStr">
        <is>
          <t>MKTX</t>
        </is>
      </c>
      <c r="D9" s="7" t="inlineStr">
        <is>
          <t>short</t>
        </is>
      </c>
      <c r="E9" s="24" t="n">
        <v>-422</v>
      </c>
      <c r="F9" s="4" t="n">
        <v>116.33</v>
      </c>
      <c r="G9" s="18" t="n">
        <v>-49091.26</v>
      </c>
      <c r="H9" s="7" t="inlineStr">
        <is>
          <t>tech</t>
        </is>
      </c>
      <c r="I9" s="7" t="n">
        <v>0</v>
      </c>
      <c r="J9" s="7" t="inlineStr">
        <is>
          <t>weekly_aligned_windows</t>
        </is>
      </c>
    </row>
    <row r="10">
      <c r="A10" s="12" t="inlineStr">
        <is>
          <t>MTFS</t>
        </is>
      </c>
      <c r="B10" s="17" t="inlineStr">
        <is>
          <t>STLD/UHS</t>
        </is>
      </c>
      <c r="C10" s="17" t="inlineStr">
        <is>
          <t>STLD</t>
        </is>
      </c>
      <c r="D10" s="17" t="inlineStr">
        <is>
          <t>long</t>
        </is>
      </c>
      <c r="E10" s="26" t="n">
        <v>386</v>
      </c>
      <c r="F10" s="13" t="n">
        <v>279.55</v>
      </c>
      <c r="G10" s="13" t="n">
        <v>107906.3</v>
      </c>
      <c r="H10" s="17" t="inlineStr">
        <is>
          <t>materials</t>
        </is>
      </c>
      <c r="I10" s="17" t="n">
        <v>1</v>
      </c>
      <c r="J10" s="17" t="inlineStr">
        <is>
          <t>no_reversal_protection</t>
        </is>
      </c>
    </row>
    <row r="11">
      <c r="A11" s="10" t="inlineStr">
        <is>
          <t>MTFS</t>
        </is>
      </c>
      <c r="B11" s="7" t="inlineStr">
        <is>
          <t>STLD/UHS</t>
        </is>
      </c>
      <c r="C11" s="7" t="inlineStr">
        <is>
          <t>UHS</t>
        </is>
      </c>
      <c r="D11" s="7" t="inlineStr">
        <is>
          <t>short</t>
        </is>
      </c>
      <c r="E11" s="24" t="n">
        <v>-358</v>
      </c>
      <c r="F11" s="4" t="n">
        <v>146.05</v>
      </c>
      <c r="G11" s="18" t="n">
        <v>-52285.9</v>
      </c>
      <c r="H11" s="7" t="inlineStr">
        <is>
          <t>health</t>
        </is>
      </c>
      <c r="I11" s="7" t="n">
        <v>1</v>
      </c>
      <c r="J11" s="7" t="inlineStr">
        <is>
          <t>no_reversal_protection</t>
        </is>
      </c>
    </row>
    <row r="12">
      <c r="A12" s="12" t="inlineStr">
        <is>
          <t>MTFS</t>
        </is>
      </c>
      <c r="B12" s="17" t="inlineStr">
        <is>
          <t>STLD/FMC</t>
        </is>
      </c>
      <c r="C12" s="17" t="inlineStr">
        <is>
          <t>STLD</t>
        </is>
      </c>
      <c r="D12" s="17" t="inlineStr">
        <is>
          <t>long</t>
        </is>
      </c>
      <c r="E12" s="26" t="n">
        <v>628</v>
      </c>
      <c r="F12" s="13" t="n">
        <v>279.55</v>
      </c>
      <c r="G12" s="13" t="n">
        <v>175557.4</v>
      </c>
      <c r="H12" s="17" t="inlineStr">
        <is>
          <t>materials</t>
        </is>
      </c>
      <c r="I12" s="17" t="n">
        <v>1</v>
      </c>
      <c r="J12" s="17" t="inlineStr">
        <is>
          <t>aggressive</t>
        </is>
      </c>
    </row>
    <row r="13">
      <c r="A13" s="10" t="inlineStr">
        <is>
          <t>MTFS</t>
        </is>
      </c>
      <c r="B13" s="7" t="inlineStr">
        <is>
          <t>STLD/FMC</t>
        </is>
      </c>
      <c r="C13" s="7" t="inlineStr">
        <is>
          <t>FMC</t>
        </is>
      </c>
      <c r="D13" s="7" t="inlineStr">
        <is>
          <t>short</t>
        </is>
      </c>
      <c r="E13" s="24" t="n">
        <v>-6843</v>
      </c>
      <c r="F13" s="11" t="n">
        <v>11.27</v>
      </c>
      <c r="G13" s="18" t="n">
        <v>-77120.61</v>
      </c>
      <c r="H13" s="7" t="inlineStr">
        <is>
          <t>food</t>
        </is>
      </c>
      <c r="I13" s="7" t="n">
        <v>1</v>
      </c>
      <c r="J13" s="7" t="inlineStr">
        <is>
          <t>aggressive</t>
        </is>
      </c>
    </row>
    <row r="14">
      <c r="A14" s="12" t="inlineStr">
        <is>
          <t>MTFS</t>
        </is>
      </c>
      <c r="B14" s="17" t="inlineStr">
        <is>
          <t>HST/MOS</t>
        </is>
      </c>
      <c r="C14" s="17" t="inlineStr">
        <is>
          <t>HST</t>
        </is>
      </c>
      <c r="D14" s="17" t="inlineStr">
        <is>
          <t>long</t>
        </is>
      </c>
      <c r="E14" s="26" t="n">
        <v>2247</v>
      </c>
      <c r="F14" s="15" t="n">
        <v>24.34</v>
      </c>
      <c r="G14" s="13" t="n">
        <v>54691.98</v>
      </c>
      <c r="H14" s="17" t="inlineStr">
        <is>
          <t>realestate</t>
        </is>
      </c>
      <c r="I14" s="17" t="n">
        <v>0</v>
      </c>
      <c r="J14" s="17" t="inlineStr">
        <is>
          <t>long_term_kalman</t>
        </is>
      </c>
    </row>
    <row r="15">
      <c r="A15" s="10" t="inlineStr">
        <is>
          <t>MTFS</t>
        </is>
      </c>
      <c r="B15" s="7" t="inlineStr">
        <is>
          <t>HST/MOS</t>
        </is>
      </c>
      <c r="C15" s="7" t="inlineStr">
        <is>
          <t>MOS</t>
        </is>
      </c>
      <c r="D15" s="7" t="inlineStr">
        <is>
          <t>short</t>
        </is>
      </c>
      <c r="E15" s="24" t="n">
        <v>-2168</v>
      </c>
      <c r="F15" s="11" t="n">
        <v>21.09</v>
      </c>
      <c r="G15" s="18" t="n">
        <v>-45723.12</v>
      </c>
      <c r="H15" s="7" t="inlineStr">
        <is>
          <t>food</t>
        </is>
      </c>
      <c r="I15" s="7" t="n">
        <v>0</v>
      </c>
      <c r="J15" s="7" t="inlineStr">
        <is>
          <t>long_term_kalman</t>
        </is>
      </c>
    </row>
    <row r="16">
      <c r="A16" s="12" t="inlineStr">
        <is>
          <t>MTFS</t>
        </is>
      </c>
      <c r="B16" s="17" t="inlineStr">
        <is>
          <t>KLAC/TRMB</t>
        </is>
      </c>
      <c r="C16" s="17" t="inlineStr">
        <is>
          <t>KLAC</t>
        </is>
      </c>
      <c r="D16" s="17" t="inlineStr">
        <is>
          <t>long</t>
        </is>
      </c>
      <c r="E16" s="26" t="n">
        <v>470</v>
      </c>
      <c r="F16" s="13" t="n">
        <v>241.16</v>
      </c>
      <c r="G16" s="13" t="n">
        <v>113347.08</v>
      </c>
      <c r="H16" s="17" t="inlineStr">
        <is>
          <t>tech</t>
        </is>
      </c>
      <c r="I16" s="17" t="n">
        <v>0</v>
      </c>
      <c r="J16" s="17" t="inlineStr">
        <is>
          <t>monthly_aligned_windows</t>
        </is>
      </c>
    </row>
    <row r="17">
      <c r="A17" s="10" t="inlineStr">
        <is>
          <t>MTFS</t>
        </is>
      </c>
      <c r="B17" s="7" t="inlineStr">
        <is>
          <t>KLAC/TRMB</t>
        </is>
      </c>
      <c r="C17" s="7" t="inlineStr">
        <is>
          <t>TRMB</t>
        </is>
      </c>
      <c r="D17" s="7" t="inlineStr">
        <is>
          <t>short</t>
        </is>
      </c>
      <c r="E17" s="24" t="n">
        <v>-972</v>
      </c>
      <c r="F17" s="11" t="n">
        <v>50</v>
      </c>
      <c r="G17" s="18" t="n">
        <v>-48600</v>
      </c>
      <c r="H17" s="7" t="inlineStr">
        <is>
          <t>industrial</t>
        </is>
      </c>
      <c r="I17" s="7" t="n">
        <v>0</v>
      </c>
      <c r="J17" s="7" t="inlineStr">
        <is>
          <t>monthly_aligned_windows</t>
        </is>
      </c>
    </row>
    <row r="18">
      <c r="A18" s="12" t="inlineStr">
        <is>
          <t>MTFS</t>
        </is>
      </c>
      <c r="B18" s="17" t="inlineStr">
        <is>
          <t>UNH/ULTA</t>
        </is>
      </c>
      <c r="C18" s="17" t="inlineStr">
        <is>
          <t>UNH</t>
        </is>
      </c>
      <c r="D18" s="17" t="inlineStr">
        <is>
          <t>long</t>
        </is>
      </c>
      <c r="E18" s="26" t="n">
        <v>124</v>
      </c>
      <c r="F18" s="13" t="n">
        <v>405.55</v>
      </c>
      <c r="G18" s="13" t="n">
        <v>50288.2</v>
      </c>
      <c r="H18" s="17" t="inlineStr">
        <is>
          <t>health</t>
        </is>
      </c>
      <c r="I18" s="17" t="n">
        <v>1</v>
      </c>
      <c r="J18" s="17" t="inlineStr">
        <is>
          <t>short_term_beta_neutral</t>
        </is>
      </c>
    </row>
    <row r="19">
      <c r="A19" s="10" t="inlineStr">
        <is>
          <t>MTFS</t>
        </is>
      </c>
      <c r="B19" s="7" t="inlineStr">
        <is>
          <t>UNH/ULTA</t>
        </is>
      </c>
      <c r="C19" s="7" t="inlineStr">
        <is>
          <t>ULTA</t>
        </is>
      </c>
      <c r="D19" s="7" t="inlineStr">
        <is>
          <t>short</t>
        </is>
      </c>
      <c r="E19" s="24" t="n">
        <v>-107</v>
      </c>
      <c r="F19" s="4" t="n">
        <v>476.42</v>
      </c>
      <c r="G19" s="18" t="n">
        <v>-50976.94</v>
      </c>
      <c r="H19" s="7" t="inlineStr">
        <is>
          <t>food</t>
        </is>
      </c>
      <c r="I19" s="7" t="n">
        <v>1</v>
      </c>
      <c r="J19" s="7" t="inlineStr">
        <is>
          <t>short_term_beta_neutral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KLAC/REGN</t>
        </is>
      </c>
      <c r="C4" s="13" t="n">
        <v>27348.97</v>
      </c>
      <c r="D4" s="13" t="n">
        <v>175643.92</v>
      </c>
      <c r="E4" s="17" t="n">
        <v>0</v>
      </c>
      <c r="F4" s="17" t="inlineStr">
        <is>
          <t>beta_neutral_long_term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NUE/INTU</t>
        </is>
      </c>
      <c r="C5" s="4" t="n">
        <v>8064.94</v>
      </c>
      <c r="D5" s="4" t="n">
        <v>108542.72</v>
      </c>
      <c r="E5" s="7" t="n">
        <v>0</v>
      </c>
      <c r="F5" s="7" t="inlineStr">
        <is>
          <t>conservative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NUE/MKTX</t>
        </is>
      </c>
      <c r="C6" s="13" t="n">
        <v>9371.719999999999</v>
      </c>
      <c r="D6" s="13" t="n">
        <v>134927.36</v>
      </c>
      <c r="E6" s="17" t="n">
        <v>0</v>
      </c>
      <c r="F6" s="17" t="inlineStr">
        <is>
          <t>weekly_aligned_windows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STLD/UHS</t>
        </is>
      </c>
      <c r="C7" s="4" t="n">
        <v>3878.66</v>
      </c>
      <c r="D7" s="4" t="n">
        <v>160192.2</v>
      </c>
      <c r="E7" s="7" t="n">
        <v>1</v>
      </c>
      <c r="F7" s="7" t="inlineStr">
        <is>
          <t>no_reversal_protection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STLD/FMC</t>
        </is>
      </c>
      <c r="C8" s="13" t="n">
        <v>6592.49</v>
      </c>
      <c r="D8" s="13" t="n">
        <v>252678.01</v>
      </c>
      <c r="E8" s="17" t="n">
        <v>1</v>
      </c>
      <c r="F8" s="17" t="inlineStr">
        <is>
          <t>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HST/MOS</t>
        </is>
      </c>
      <c r="C9" s="4" t="n">
        <v>404.02</v>
      </c>
      <c r="D9" s="4" t="n">
        <v>100415.1</v>
      </c>
      <c r="E9" s="7" t="n">
        <v>0</v>
      </c>
      <c r="F9" s="7" t="inlineStr">
        <is>
          <t>long_term_kalman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KLAC/TRMB</t>
        </is>
      </c>
      <c r="C10" s="13" t="n">
        <v>15664.09</v>
      </c>
      <c r="D10" s="13" t="n">
        <v>161947.08</v>
      </c>
      <c r="E10" s="17" t="n">
        <v>0</v>
      </c>
      <c r="F10" s="17" t="inlineStr">
        <is>
          <t>monthly_aligned_windows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UNH/ULTA</t>
        </is>
      </c>
      <c r="C11" s="18" t="n">
        <v>-765.4400000000001</v>
      </c>
      <c r="D11" s="4" t="n">
        <v>101265.14</v>
      </c>
      <c r="E11" s="7" t="n">
        <v>1</v>
      </c>
      <c r="F11" s="7" t="inlineStr">
        <is>
          <t>short_term_beta_neutral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2026-06-11</t>
        </is>
      </c>
      <c r="C4" s="7" t="inlineStr">
        <is>
          <t>2026-06-11</t>
        </is>
      </c>
    </row>
    <row r="5">
      <c r="A5" s="12" t="inlineStr">
        <is>
          <t>T_1D</t>
        </is>
      </c>
      <c r="B5" s="17" t="inlineStr">
        <is>
          <t>2026-06-10</t>
        </is>
      </c>
      <c r="C5" s="17" t="inlineStr">
        <is>
          <t>2026-06-10</t>
        </is>
      </c>
    </row>
    <row r="6">
      <c r="A6" s="10" t="inlineStr">
        <is>
          <t>T_1W</t>
        </is>
      </c>
      <c r="B6" s="7" t="inlineStr">
        <is>
          <t>2026-06-04</t>
        </is>
      </c>
      <c r="C6" s="7" t="inlineStr">
        <is>
          <t>2026-06-04</t>
        </is>
      </c>
    </row>
    <row r="7">
      <c r="A7" s="12" t="inlineStr">
        <is>
          <t>T_1M</t>
        </is>
      </c>
      <c r="B7" s="17" t="inlineStr">
        <is>
          <t>2026-05-12</t>
        </is>
      </c>
      <c r="C7" s="17" t="inlineStr">
        <is>
          <t>2026-05-12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14.38</v>
      </c>
      <c r="C6" s="7" t="n">
        <v>0.4</v>
      </c>
      <c r="D6" s="7" t="n">
        <v>25</v>
      </c>
      <c r="E6" s="21" t="n">
        <v>-13.98</v>
      </c>
    </row>
    <row r="7">
      <c r="A7" s="12" t="inlineStr">
        <is>
          <t>MTFS</t>
        </is>
      </c>
      <c r="B7" s="17" t="n">
        <v>14.43</v>
      </c>
      <c r="C7" s="17" t="n">
        <v>27.47</v>
      </c>
      <c r="D7" s="17" t="n">
        <v>25</v>
      </c>
      <c r="E7" s="19" t="n">
        <v>13.04</v>
      </c>
    </row>
    <row r="8">
      <c r="A8" s="10" t="inlineStr">
        <is>
          <t>SSRS</t>
        </is>
      </c>
      <c r="B8" s="7" t="n">
        <v>24.5</v>
      </c>
      <c r="C8" s="7" t="n">
        <v>3.81</v>
      </c>
      <c r="D8" s="7" t="n">
        <v>25</v>
      </c>
      <c r="E8" s="21" t="n">
        <v>-20.69</v>
      </c>
    </row>
    <row r="9">
      <c r="A9" s="12" t="inlineStr">
        <is>
          <t>AISS</t>
        </is>
      </c>
      <c r="B9" s="17" t="n">
        <v>46.69</v>
      </c>
      <c r="C9" s="17" t="n">
        <v>68.31999999999999</v>
      </c>
      <c r="D9" s="17" t="n">
        <v>25</v>
      </c>
      <c r="E9" s="19" t="n">
        <v>21.63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26.63</v>
      </c>
    </row>
    <row r="14">
      <c r="A14" s="12" t="inlineStr">
        <is>
          <t>STLD/FMC</t>
        </is>
      </c>
      <c r="B14" s="17" t="n">
        <v>24.56</v>
      </c>
    </row>
    <row r="15">
      <c r="A15" s="10" t="inlineStr">
        <is>
          <t>KLAC/TRMB</t>
        </is>
      </c>
      <c r="B15" s="7" t="n">
        <v>18.94</v>
      </c>
    </row>
    <row r="16">
      <c r="A16" s="12" t="inlineStr">
        <is>
          <t>STLD/UHS</t>
        </is>
      </c>
      <c r="B16" s="17" t="n">
        <v>10.81</v>
      </c>
    </row>
    <row r="17">
      <c r="A17" s="10" t="inlineStr">
        <is>
          <t>NUE/INTU</t>
        </is>
      </c>
      <c r="B17" s="7" t="n">
        <v>8.31</v>
      </c>
    </row>
    <row r="18">
      <c r="A18" s="12" t="inlineStr">
        <is>
          <t>NUE/MKTX</t>
        </is>
      </c>
      <c r="B18" s="17" t="n">
        <v>8.15</v>
      </c>
    </row>
    <row r="19">
      <c r="A19" s="10" t="inlineStr">
        <is>
          <t>HST/MOS</t>
        </is>
      </c>
      <c r="B19" s="7" t="n">
        <v>1.98</v>
      </c>
    </row>
    <row r="20">
      <c r="A20" s="12" t="inlineStr">
        <is>
          <t>UNH/ULTA</t>
        </is>
      </c>
      <c r="B20" s="17" t="n">
        <v>0.62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19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0.837</v>
      </c>
      <c r="C4" s="7" t="n">
        <v>20.973</v>
      </c>
      <c r="D4" s="7" t="n">
        <v>0</v>
      </c>
      <c r="E4" s="7" t="b">
        <v>1</v>
      </c>
      <c r="F4" s="7" t="n">
        <v>2.391</v>
      </c>
      <c r="G4" s="7" t="n">
        <v>2.391</v>
      </c>
      <c r="H4" s="7" t="n">
        <v>0</v>
      </c>
    </row>
    <row r="5">
      <c r="A5" s="12" t="inlineStr">
        <is>
          <t>MRPT</t>
        </is>
      </c>
      <c r="B5" s="17" t="n">
        <v>-0.418</v>
      </c>
      <c r="C5" s="17" t="n">
        <v>2.532</v>
      </c>
      <c r="D5" s="17" t="n">
        <v>0</v>
      </c>
      <c r="E5" s="17" t="b">
        <v>1</v>
      </c>
      <c r="F5" s="17" t="n">
        <v>1.593</v>
      </c>
      <c r="G5" s="17" t="n">
        <v>1.658</v>
      </c>
      <c r="H5" s="17" t="n">
        <v>0.065</v>
      </c>
    </row>
    <row r="6">
      <c r="A6" s="10" t="inlineStr">
        <is>
          <t>MTFS</t>
        </is>
      </c>
      <c r="B6" s="7" t="n">
        <v>1.962</v>
      </c>
      <c r="C6" s="7" t="n">
        <v>24.072</v>
      </c>
      <c r="D6" s="7" t="n">
        <v>0</v>
      </c>
      <c r="E6" s="7" t="b">
        <v>1</v>
      </c>
      <c r="F6" s="7" t="n">
        <v>5.131</v>
      </c>
      <c r="G6" s="7" t="n">
        <v>5.131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1.537</v>
      </c>
      <c r="C9" s="7" t="n">
        <v>0.8861</v>
      </c>
      <c r="D9" s="7" t="n">
        <v>282</v>
      </c>
      <c r="E9" s="7" t="n">
        <v>8.859999999999999</v>
      </c>
      <c r="F9" s="7" t="n">
        <v>9.470000000000001</v>
      </c>
      <c r="G9" s="7" t="n">
        <v>75.8</v>
      </c>
      <c r="H9" s="7" t="n">
        <v>5.44</v>
      </c>
      <c r="I9" s="7" t="n">
        <v>2.72</v>
      </c>
      <c r="J9" s="7" t="n">
        <v>1.053</v>
      </c>
    </row>
    <row r="10">
      <c r="A10" s="12" t="inlineStr">
        <is>
          <t>MRPT</t>
        </is>
      </c>
      <c r="B10" s="17" t="n">
        <v>1.183</v>
      </c>
      <c r="C10" s="17" t="n">
        <v>0.8158</v>
      </c>
      <c r="D10" s="17" t="n">
        <v>506</v>
      </c>
      <c r="E10" s="17" t="n">
        <v>9.26</v>
      </c>
      <c r="F10" s="17" t="n">
        <v>9.57</v>
      </c>
      <c r="G10" s="17" t="n">
        <v>77.09999999999999</v>
      </c>
      <c r="H10" s="17" t="n">
        <v>5.42</v>
      </c>
      <c r="I10" s="17" t="n">
        <v>2.71</v>
      </c>
      <c r="J10" s="17" t="n">
        <v>0</v>
      </c>
    </row>
    <row r="11">
      <c r="A11" s="10" t="inlineStr">
        <is>
          <t>MTFS</t>
        </is>
      </c>
      <c r="B11" s="7" t="n">
        <v>1.278</v>
      </c>
      <c r="C11" s="7" t="n">
        <v>0.8537</v>
      </c>
      <c r="D11" s="7" t="n">
        <v>370</v>
      </c>
      <c r="E11" s="7" t="n">
        <v>15.56</v>
      </c>
      <c r="F11" s="7" t="n">
        <v>18.48</v>
      </c>
      <c r="G11" s="7" t="n">
        <v>79.09999999999999</v>
      </c>
      <c r="H11" s="7" t="n">
        <v>2.27</v>
      </c>
      <c r="I11" s="7" t="n">
        <v>1.14</v>
      </c>
      <c r="J11" s="7" t="n">
        <v>2.101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2026-06-24T22:51:10Z</dcterms:created>
  <dcterms:modified xmlns:dcterms="http://purl.org/dc/terms/" xmlns:xsi="http://www.w3.org/2001/XMLSchema-instance" xsi:type="dcterms:W3CDTF">2026-06-24T22:51:10Z</dcterms:modified>
</cp:coreProperties>
</file>