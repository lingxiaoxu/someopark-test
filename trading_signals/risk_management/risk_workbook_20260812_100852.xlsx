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Trend'!$A$4:$A$199</f>
            </numRef>
          </cat>
          <val>
            <numRef>
              <f>'NAV Trend'!$B$4:$B$199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2026-08-11  ·  Generated 2026-08-12T10:11:06  ·  Scope: MRPT+MTFS pairs book (model-based, broker-reconciled)</t>
        </is>
      </c>
    </row>
    <row r="4">
      <c r="A4" s="3" t="inlineStr">
        <is>
          <t>NAV (equity)</t>
        </is>
      </c>
      <c r="B4" s="4" t="n">
        <v>934298.2</v>
      </c>
    </row>
    <row r="5">
      <c r="A5" s="3" t="inlineStr">
        <is>
          <t>Gross leverage (x)</t>
        </is>
      </c>
      <c r="B5" s="5" t="n">
        <v>2.318</v>
      </c>
    </row>
    <row r="6">
      <c r="A6" s="3" t="inlineStr">
        <is>
          <t>Net leverage (x)</t>
        </is>
      </c>
      <c r="B6" s="6" t="n">
        <v>0.913</v>
      </c>
    </row>
    <row r="7">
      <c r="A7" s="3" t="inlineStr">
        <is>
          <t>Net market beta (target≈0)</t>
        </is>
      </c>
      <c r="B7" s="5" t="n">
        <v>3.679</v>
      </c>
    </row>
    <row r="8">
      <c r="A8" s="3" t="inlineStr">
        <is>
          <t>VaR 95% 1-day ($)</t>
        </is>
      </c>
      <c r="B8" s="4" t="n">
        <v>86574.14999999999</v>
      </c>
    </row>
    <row r="9">
      <c r="A9" s="3" t="inlineStr">
        <is>
          <t>VaR 95% 1-day (% NAV)</t>
        </is>
      </c>
      <c r="B9" s="5" t="n">
        <v>9.27</v>
      </c>
    </row>
    <row r="10">
      <c r="A10" s="3" t="inlineStr">
        <is>
          <t>Annual vol (% NAV)</t>
        </is>
      </c>
      <c r="B10" s="5" t="n">
        <v>89.42</v>
      </c>
    </row>
    <row r="11">
      <c r="A11" s="3" t="inlineStr">
        <is>
          <t>Sharpe (annual)</t>
        </is>
      </c>
      <c r="B11" s="6" t="n">
        <v>0.197</v>
      </c>
    </row>
    <row r="12">
      <c r="A12" s="3" t="inlineStr">
        <is>
          <t>PSR( SR&gt;0 )</t>
        </is>
      </c>
      <c r="B12" s="6" t="n">
        <v>0.5685</v>
      </c>
    </row>
    <row r="13">
      <c r="A13" s="3" t="inlineStr">
        <is>
          <t>CDaR 95% (%)</t>
        </is>
      </c>
      <c r="B13" s="5" t="n">
        <v>23.75</v>
      </c>
    </row>
    <row r="14">
      <c r="A14" s="3" t="inlineStr">
        <is>
          <t>Kelly full / half (x)</t>
        </is>
      </c>
      <c r="B14" s="7" t="inlineStr">
        <is>
          <t>-0.0 / -0.0</t>
        </is>
      </c>
    </row>
    <row r="15">
      <c r="A15" s="3" t="inlineStr">
        <is>
          <t>Actual gross leverage (x)</t>
        </is>
      </c>
      <c r="B15" s="5" t="n">
        <v>2.318</v>
      </c>
    </row>
    <row r="16">
      <c r="A16" s="3" t="inlineStr">
        <is>
          <t>Max single-name</t>
        </is>
      </c>
      <c r="B16" s="7" t="inlineStr">
        <is>
          <t>MU (64.14% NAV)</t>
        </is>
      </c>
    </row>
    <row r="17">
      <c r="A17" s="3" t="inlineStr">
        <is>
          <t>Max sector net (% gross)</t>
        </is>
      </c>
      <c r="B17" s="5" t="n">
        <v>49.91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single_name_gross:MU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330757.48</v>
      </c>
      <c r="D5" s="4" t="n">
        <v>180695.79</v>
      </c>
      <c r="E5" s="4" t="n">
        <v>753957.1800000001</v>
      </c>
    </row>
    <row r="6">
      <c r="A6" s="12" t="inlineStr">
        <is>
          <t>Restricted Cash 受限现金 (PB 102%)</t>
        </is>
      </c>
      <c r="B6" s="13" t="n">
        <v>669406.64</v>
      </c>
      <c r="C6" s="13" t="n">
        <v>367402.48</v>
      </c>
      <c r="D6" s="13" t="n">
        <v>522699.56</v>
      </c>
      <c r="E6" s="13" t="n">
        <v>204566.54</v>
      </c>
    </row>
    <row r="7">
      <c r="A7" s="10" t="inlineStr">
        <is>
          <t>Long Securities 多头证券</t>
        </is>
      </c>
      <c r="B7" s="4" t="n">
        <v>1509105.77</v>
      </c>
      <c r="C7" s="4" t="n">
        <v>590624.16</v>
      </c>
      <c r="D7" s="4" t="n">
        <v>715344.46</v>
      </c>
      <c r="E7" s="4" t="n">
        <v>312815.75</v>
      </c>
    </row>
    <row r="8">
      <c r="A8" s="14" t="inlineStr">
        <is>
          <t>Total Assets 总资产</t>
        </is>
      </c>
      <c r="B8" s="13" t="n">
        <v>2178512.41</v>
      </c>
      <c r="C8" s="13" t="n">
        <v>1288784.12</v>
      </c>
      <c r="D8" s="13" t="n">
        <v>1418739.81</v>
      </c>
      <c r="E8" s="13" t="n">
        <v>1271339.47</v>
      </c>
    </row>
    <row r="9">
      <c r="A9" s="10" t="inlineStr">
        <is>
          <t>Short Securities 空头证券 (义务)</t>
        </is>
      </c>
      <c r="B9" s="4" t="n">
        <v>656281.02</v>
      </c>
      <c r="C9" s="4" t="n">
        <v>360198.51</v>
      </c>
      <c r="D9" s="4" t="n">
        <v>512450.55</v>
      </c>
      <c r="E9" s="4" t="n">
        <v>200555.43</v>
      </c>
    </row>
    <row r="10">
      <c r="A10" s="12" t="inlineStr">
        <is>
          <t>Margin Loan 保证金借款</t>
        </is>
      </c>
      <c r="B10" s="13" t="n">
        <v>587933.1899999999</v>
      </c>
      <c r="C10" s="15" t="n">
        <v>0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1244214.21</v>
      </c>
      <c r="C11" s="4" t="n">
        <v>360198.51</v>
      </c>
      <c r="D11" s="4" t="n">
        <v>512450.55</v>
      </c>
      <c r="E11" s="4" t="n">
        <v>200555.43</v>
      </c>
    </row>
    <row r="12">
      <c r="A12" s="14" t="inlineStr">
        <is>
          <t>NAV (Equity) 净值 = TA - TL</t>
        </is>
      </c>
      <c r="B12" s="13" t="n">
        <v>934298.2</v>
      </c>
      <c r="C12" s="13" t="n">
        <v>928585.61</v>
      </c>
      <c r="D12" s="13" t="n">
        <v>906289.26</v>
      </c>
      <c r="E12" s="13" t="n">
        <v>1070784.04</v>
      </c>
    </row>
    <row r="13">
      <c r="A13" s="10" t="inlineStr">
        <is>
          <t>Gross Leverage 总杠杆 (x)</t>
        </is>
      </c>
      <c r="B13" s="7" t="n">
        <v>2.318</v>
      </c>
      <c r="C13" s="7" t="n">
        <v>1.024</v>
      </c>
      <c r="D13" s="7" t="n">
        <v>1.355</v>
      </c>
      <c r="E13" s="7" t="n">
        <v>0.479</v>
      </c>
    </row>
    <row r="14">
      <c r="A14" s="12" t="inlineStr">
        <is>
          <t>Net Leverage 净杠杆 (x)</t>
        </is>
      </c>
      <c r="B14" s="17" t="n">
        <v>0.913</v>
      </c>
      <c r="C14" s="17" t="n">
        <v>0.248</v>
      </c>
      <c r="D14" s="17" t="n">
        <v>0.224</v>
      </c>
      <c r="E14" s="17" t="n">
        <v>0.105</v>
      </c>
    </row>
    <row r="15">
      <c r="A15" s="10" t="inlineStr">
        <is>
          <t>PM Requirement (20%)</t>
        </is>
      </c>
      <c r="B15" s="4" t="n">
        <v>433077.36</v>
      </c>
      <c r="C15" s="4" t="n">
        <v>190164.53</v>
      </c>
      <c r="D15" s="4" t="n">
        <v>245559</v>
      </c>
      <c r="E15" s="4" t="n">
        <v>102674.24</v>
      </c>
    </row>
    <row r="16">
      <c r="A16" s="12" t="inlineStr">
        <is>
          <t>Excess Liquidity 超额流动性</t>
        </is>
      </c>
      <c r="B16" s="13" t="n">
        <v>501220.84</v>
      </c>
      <c r="C16" s="13" t="n">
        <v>738421.08</v>
      </c>
      <c r="D16" s="13" t="n">
        <v>660730.26</v>
      </c>
      <c r="E16" s="13" t="n">
        <v>968109.8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934298.2</v>
      </c>
      <c r="C21" s="4" t="n">
        <v>590624.16</v>
      </c>
      <c r="D21" s="4" t="n">
        <v>715344.46</v>
      </c>
      <c r="E21" s="4" t="n">
        <v>312815.75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1509105.77</v>
      </c>
      <c r="C23" s="4" t="n">
        <v>590624.16</v>
      </c>
      <c r="D23" s="4" t="n">
        <v>715344.46</v>
      </c>
      <c r="E23" s="4" t="n">
        <v>312815.75</v>
      </c>
    </row>
    <row r="24">
      <c r="A24" s="12" t="inlineStr">
        <is>
          <t>Long Book — Margin Loan 融资</t>
        </is>
      </c>
      <c r="B24" s="13" t="n">
        <v>574807.5699999999</v>
      </c>
      <c r="C24" s="15" t="n">
        <v>0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934298.2</v>
      </c>
      <c r="C25" s="4" t="n">
        <v>590624.16</v>
      </c>
      <c r="D25" s="4" t="n">
        <v>715344.46</v>
      </c>
      <c r="E25" s="4" t="n">
        <v>312815.75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7203.97</v>
      </c>
      <c r="D26" s="13" t="n">
        <v>10249.01</v>
      </c>
      <c r="E26" s="13" t="n">
        <v>4011.11</v>
      </c>
    </row>
    <row r="27">
      <c r="A27" s="10" t="inlineStr">
        <is>
          <t>Short Book — Collateral 担保金</t>
        </is>
      </c>
      <c r="B27" s="11" t="n">
        <v>0</v>
      </c>
      <c r="C27" s="4" t="n">
        <v>7203.97</v>
      </c>
      <c r="D27" s="4" t="n">
        <v>10249.01</v>
      </c>
      <c r="E27" s="4" t="n">
        <v>4011.11</v>
      </c>
    </row>
    <row r="28">
      <c r="A28" s="12" t="inlineStr">
        <is>
          <t>Short Book — Short Proceeds 做空收入</t>
        </is>
      </c>
      <c r="B28" s="13" t="n">
        <v>656281.02</v>
      </c>
      <c r="C28" s="13" t="n">
        <v>360198.51</v>
      </c>
      <c r="D28" s="13" t="n">
        <v>512450.55</v>
      </c>
      <c r="E28" s="13" t="n">
        <v>200555.43</v>
      </c>
    </row>
    <row r="29">
      <c r="A29" s="10" t="inlineStr">
        <is>
          <t>Short Book — Market Value 市值(负债)</t>
        </is>
      </c>
      <c r="B29" s="4" t="n">
        <v>656281.02</v>
      </c>
      <c r="C29" s="4" t="n">
        <v>360198.51</v>
      </c>
      <c r="D29" s="4" t="n">
        <v>512450.55</v>
      </c>
      <c r="E29" s="4" t="n">
        <v>200555.43</v>
      </c>
    </row>
    <row r="30">
      <c r="A30" s="12" t="inlineStr">
        <is>
          <t>Short Book — Margin Loan 融资(2%)</t>
        </is>
      </c>
      <c r="B30" s="13" t="n">
        <v>13125.62</v>
      </c>
      <c r="C30" s="15" t="n">
        <v>0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7203.97</v>
      </c>
      <c r="D31" s="4" t="n">
        <v>10249.01</v>
      </c>
      <c r="E31" s="4" t="n">
        <v>4011.11</v>
      </c>
    </row>
    <row r="32">
      <c r="A32" s="12" t="inlineStr">
        <is>
          <t>Unallocated Cash 未分配现金</t>
        </is>
      </c>
      <c r="B32" s="15" t="n">
        <v>0</v>
      </c>
      <c r="C32" s="13" t="n">
        <v>330757.48</v>
      </c>
      <c r="D32" s="13" t="n">
        <v>180695.79</v>
      </c>
      <c r="E32" s="13" t="n">
        <v>753957.1800000001</v>
      </c>
    </row>
    <row r="33">
      <c r="A33" s="16" t="inlineStr">
        <is>
          <t>Dual-View NAV 双账户法NAV</t>
        </is>
      </c>
      <c r="B33" s="4" t="n">
        <v>934298.2</v>
      </c>
      <c r="C33" s="4" t="n">
        <v>928585.61</v>
      </c>
      <c r="D33" s="4" t="n">
        <v>906289.26</v>
      </c>
      <c r="E33" s="4" t="n">
        <v>1070784.04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617846.65</v>
      </c>
      <c r="C39" s="4" t="n">
        <v>617846.65</v>
      </c>
      <c r="D39" s="4" t="n">
        <v>508430.91</v>
      </c>
      <c r="E39" s="4" t="n">
        <v>481316.8</v>
      </c>
    </row>
    <row r="40">
      <c r="A40" s="12" t="inlineStr">
        <is>
          <t>Restricted Cash 受限现金 (PB 102%)</t>
        </is>
      </c>
      <c r="B40" s="15" t="n">
        <v>0</v>
      </c>
      <c r="C40" s="15" t="n">
        <v>0</v>
      </c>
      <c r="D40" s="13" t="n">
        <v>102523.44</v>
      </c>
      <c r="E40" s="13" t="n">
        <v>132112.56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4" t="n">
        <v>98751.14</v>
      </c>
      <c r="E41" s="4" t="n">
        <v>125026.51</v>
      </c>
    </row>
    <row r="42">
      <c r="A42" s="14" t="inlineStr">
        <is>
          <t>Total Assets 总资产</t>
        </is>
      </c>
      <c r="B42" s="13" t="n">
        <v>617846.65</v>
      </c>
      <c r="C42" s="13" t="n">
        <v>617846.65</v>
      </c>
      <c r="D42" s="13" t="n">
        <v>709705.49</v>
      </c>
      <c r="E42" s="13" t="n">
        <v>738455.88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4" t="n">
        <v>100513.18</v>
      </c>
      <c r="E43" s="4" t="n">
        <v>129522.12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4" t="n">
        <v>100513.18</v>
      </c>
      <c r="E45" s="4" t="n">
        <v>129522.12</v>
      </c>
    </row>
    <row r="46">
      <c r="A46" s="14" t="inlineStr">
        <is>
          <t>NAV (Equity) 净值 = TA - TL</t>
        </is>
      </c>
      <c r="B46" s="13" t="n">
        <v>617846.65</v>
      </c>
      <c r="C46" s="13" t="n">
        <v>617846.65</v>
      </c>
      <c r="D46" s="13" t="n">
        <v>609192.3100000001</v>
      </c>
      <c r="E46" s="13" t="n">
        <v>608933.76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0.327</v>
      </c>
      <c r="E47" s="7" t="n">
        <v>0.418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-0.003</v>
      </c>
      <c r="E48" s="17" t="n">
        <v>-0.007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4" t="n">
        <v>39852.86</v>
      </c>
      <c r="E49" s="4" t="n">
        <v>50909.73</v>
      </c>
    </row>
    <row r="50">
      <c r="A50" s="12" t="inlineStr">
        <is>
          <t>Excess Liquidity 超额流动性</t>
        </is>
      </c>
      <c r="B50" s="13" t="n">
        <v>617846.65</v>
      </c>
      <c r="C50" s="13" t="n">
        <v>617846.65</v>
      </c>
      <c r="D50" s="13" t="n">
        <v>569339.45</v>
      </c>
      <c r="E50" s="13" t="n">
        <v>558024.03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4" t="n">
        <v>98751.14</v>
      </c>
      <c r="E55" s="4" t="n">
        <v>125026.51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4" t="n">
        <v>98751.14</v>
      </c>
      <c r="E57" s="4" t="n">
        <v>125026.51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4" t="n">
        <v>98751.14</v>
      </c>
      <c r="E59" s="4" t="n">
        <v>125026.51</v>
      </c>
    </row>
    <row r="60">
      <c r="A60" s="12" t="inlineStr">
        <is>
          <t>Short Book — Allocated Capital 分配资本</t>
        </is>
      </c>
      <c r="B60" s="15" t="n">
        <v>0</v>
      </c>
      <c r="C60" s="15" t="n">
        <v>0</v>
      </c>
      <c r="D60" s="13" t="n">
        <v>2010.26</v>
      </c>
      <c r="E60" s="13" t="n">
        <v>2590.44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4" t="n">
        <v>2010.26</v>
      </c>
      <c r="E61" s="4" t="n">
        <v>2590.44</v>
      </c>
    </row>
    <row r="62">
      <c r="A62" s="12" t="inlineStr">
        <is>
          <t>Short Book — Short Proceeds 做空收入</t>
        </is>
      </c>
      <c r="B62" s="15" t="n">
        <v>0</v>
      </c>
      <c r="C62" s="15" t="n">
        <v>0</v>
      </c>
      <c r="D62" s="13" t="n">
        <v>100513.18</v>
      </c>
      <c r="E62" s="13" t="n">
        <v>129522.12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4" t="n">
        <v>100513.18</v>
      </c>
      <c r="E63" s="4" t="n">
        <v>129522.12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4" t="n">
        <v>2010.26</v>
      </c>
      <c r="E65" s="4" t="n">
        <v>2590.44</v>
      </c>
    </row>
    <row r="66">
      <c r="A66" s="12" t="inlineStr">
        <is>
          <t>Unallocated Cash 未分配现金</t>
        </is>
      </c>
      <c r="B66" s="13" t="n">
        <v>617846.65</v>
      </c>
      <c r="C66" s="13" t="n">
        <v>617846.65</v>
      </c>
      <c r="D66" s="13" t="n">
        <v>508430.91</v>
      </c>
      <c r="E66" s="13" t="n">
        <v>481316.8</v>
      </c>
    </row>
    <row r="67">
      <c r="A67" s="16" t="inlineStr">
        <is>
          <t>Dual-View NAV 双账户法NAV</t>
        </is>
      </c>
      <c r="B67" s="4" t="n">
        <v>617846.65</v>
      </c>
      <c r="C67" s="4" t="n">
        <v>617846.65</v>
      </c>
      <c r="D67" s="4" t="n">
        <v>609192.3100000001</v>
      </c>
      <c r="E67" s="4" t="n">
        <v>608933.76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272640.37</v>
      </c>
    </row>
    <row r="74">
      <c r="A74" s="12" t="inlineStr">
        <is>
          <t>Restricted Cash 受限现金 (PB 102%)</t>
        </is>
      </c>
      <c r="B74" s="13" t="n">
        <v>669406.64</v>
      </c>
      <c r="C74" s="13" t="n">
        <v>367402.48</v>
      </c>
      <c r="D74" s="13" t="n">
        <v>420176.12</v>
      </c>
      <c r="E74" s="13" t="n">
        <v>72453.98</v>
      </c>
    </row>
    <row r="75">
      <c r="A75" s="10" t="inlineStr">
        <is>
          <t>Long Securities 多头证券</t>
        </is>
      </c>
      <c r="B75" s="4" t="n">
        <v>1509105.77</v>
      </c>
      <c r="C75" s="4" t="n">
        <v>590624.16</v>
      </c>
      <c r="D75" s="4" t="n">
        <v>616593.3199999999</v>
      </c>
      <c r="E75" s="4" t="n">
        <v>187789.24</v>
      </c>
    </row>
    <row r="76">
      <c r="A76" s="14" t="inlineStr">
        <is>
          <t>Total Assets 总资产</t>
        </is>
      </c>
      <c r="B76" s="13" t="n">
        <v>2178512.41</v>
      </c>
      <c r="C76" s="13" t="n">
        <v>958026.64</v>
      </c>
      <c r="D76" s="13" t="n">
        <v>1036769.44</v>
      </c>
      <c r="E76" s="13" t="n">
        <v>532883.59</v>
      </c>
    </row>
    <row r="77">
      <c r="A77" s="10" t="inlineStr">
        <is>
          <t>Short Securities 空头证券 (义务)</t>
        </is>
      </c>
      <c r="B77" s="4" t="n">
        <v>656281.02</v>
      </c>
      <c r="C77" s="4" t="n">
        <v>360198.51</v>
      </c>
      <c r="D77" s="4" t="n">
        <v>411937.37</v>
      </c>
      <c r="E77" s="4" t="n">
        <v>71033.31</v>
      </c>
    </row>
    <row r="78">
      <c r="A78" s="12" t="inlineStr">
        <is>
          <t>Margin Loan 保证金借款</t>
        </is>
      </c>
      <c r="B78" s="13" t="n">
        <v>1205779.84</v>
      </c>
      <c r="C78" s="13" t="n">
        <v>287089.17</v>
      </c>
      <c r="D78" s="13" t="n">
        <v>327735.12</v>
      </c>
      <c r="E78" s="15" t="n">
        <v>0</v>
      </c>
    </row>
    <row r="79">
      <c r="A79" s="16" t="inlineStr">
        <is>
          <t>Total Liabilities 总负债</t>
        </is>
      </c>
      <c r="B79" s="4" t="n">
        <v>1862060.86</v>
      </c>
      <c r="C79" s="4" t="n">
        <v>647287.6800000001</v>
      </c>
      <c r="D79" s="4" t="n">
        <v>739672.49</v>
      </c>
      <c r="E79" s="4" t="n">
        <v>71033.31</v>
      </c>
    </row>
    <row r="80">
      <c r="A80" s="14" t="inlineStr">
        <is>
          <t>NAV (Equity) 净值 = TA - TL</t>
        </is>
      </c>
      <c r="B80" s="13" t="n">
        <v>316451.55</v>
      </c>
      <c r="C80" s="13" t="n">
        <v>310738.96</v>
      </c>
      <c r="D80" s="13" t="n">
        <v>297096.95</v>
      </c>
      <c r="E80" s="13" t="n">
        <v>461850.28</v>
      </c>
    </row>
    <row r="81">
      <c r="A81" s="10" t="inlineStr">
        <is>
          <t>Gross Leverage 总杠杆 (x)</t>
        </is>
      </c>
      <c r="B81" s="7" t="n">
        <v>6.843</v>
      </c>
      <c r="C81" s="7" t="n">
        <v>3.06</v>
      </c>
      <c r="D81" s="7" t="n">
        <v>3.462</v>
      </c>
      <c r="E81" s="7" t="n">
        <v>0.5600000000000001</v>
      </c>
    </row>
    <row r="82">
      <c r="A82" s="12" t="inlineStr">
        <is>
          <t>Net Leverage 净杠杆 (x)</t>
        </is>
      </c>
      <c r="B82" s="17" t="n">
        <v>2.695</v>
      </c>
      <c r="C82" s="17" t="n">
        <v>0.742</v>
      </c>
      <c r="D82" s="17" t="n">
        <v>0.6889999999999999</v>
      </c>
      <c r="E82" s="17" t="n">
        <v>0.253</v>
      </c>
    </row>
    <row r="83">
      <c r="A83" s="10" t="inlineStr">
        <is>
          <t>PM Requirement (20%)</t>
        </is>
      </c>
      <c r="B83" s="4" t="n">
        <v>433077.36</v>
      </c>
      <c r="C83" s="4" t="n">
        <v>190164.53</v>
      </c>
      <c r="D83" s="4" t="n">
        <v>205706.14</v>
      </c>
      <c r="E83" s="4" t="n">
        <v>51764.51</v>
      </c>
    </row>
    <row r="84">
      <c r="A84" s="12" t="inlineStr">
        <is>
          <t>Excess Liquidity 超额流动性</t>
        </is>
      </c>
      <c r="B84" s="18" t="n">
        <v>-116625.81</v>
      </c>
      <c r="C84" s="13" t="n">
        <v>120574.43</v>
      </c>
      <c r="D84" s="13" t="n">
        <v>91390.81</v>
      </c>
      <c r="E84" s="13" t="n">
        <v>410085.77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316451.55</v>
      </c>
      <c r="C89" s="4" t="n">
        <v>310738.96</v>
      </c>
      <c r="D89" s="4" t="n">
        <v>297096.95</v>
      </c>
      <c r="E89" s="4" t="n">
        <v>187789.24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1509105.77</v>
      </c>
      <c r="C91" s="4" t="n">
        <v>590624.16</v>
      </c>
      <c r="D91" s="4" t="n">
        <v>616593.3199999999</v>
      </c>
      <c r="E91" s="4" t="n">
        <v>187789.24</v>
      </c>
    </row>
    <row r="92">
      <c r="A92" s="12" t="inlineStr">
        <is>
          <t>Long Book — Margin Loan 融资</t>
        </is>
      </c>
      <c r="B92" s="13" t="n">
        <v>1192654.22</v>
      </c>
      <c r="C92" s="13" t="n">
        <v>279885.2</v>
      </c>
      <c r="D92" s="13" t="n">
        <v>319496.37</v>
      </c>
      <c r="E92" s="15" t="n">
        <v>0</v>
      </c>
    </row>
    <row r="93">
      <c r="A93" s="16" t="inlineStr">
        <is>
          <t>Long Book — NAV</t>
        </is>
      </c>
      <c r="B93" s="4" t="n">
        <v>316451.55</v>
      </c>
      <c r="C93" s="4" t="n">
        <v>310738.96</v>
      </c>
      <c r="D93" s="4" t="n">
        <v>297096.95</v>
      </c>
      <c r="E93" s="4" t="n">
        <v>187789.24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1420.67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1420.67</v>
      </c>
    </row>
    <row r="96">
      <c r="A96" s="12" t="inlineStr">
        <is>
          <t>Short Book — Short Proceeds 做空收入</t>
        </is>
      </c>
      <c r="B96" s="13" t="n">
        <v>656281.02</v>
      </c>
      <c r="C96" s="13" t="n">
        <v>360198.51</v>
      </c>
      <c r="D96" s="13" t="n">
        <v>411937.37</v>
      </c>
      <c r="E96" s="13" t="n">
        <v>71033.31</v>
      </c>
    </row>
    <row r="97">
      <c r="A97" s="10" t="inlineStr">
        <is>
          <t>Short Book — Market Value 市值(负债)</t>
        </is>
      </c>
      <c r="B97" s="4" t="n">
        <v>656281.02</v>
      </c>
      <c r="C97" s="4" t="n">
        <v>360198.51</v>
      </c>
      <c r="D97" s="4" t="n">
        <v>411937.37</v>
      </c>
      <c r="E97" s="4" t="n">
        <v>71033.31</v>
      </c>
    </row>
    <row r="98">
      <c r="A98" s="12" t="inlineStr">
        <is>
          <t>Short Book — Margin Loan 融资(2%)</t>
        </is>
      </c>
      <c r="B98" s="13" t="n">
        <v>13125.62</v>
      </c>
      <c r="C98" s="13" t="n">
        <v>7203.97</v>
      </c>
      <c r="D98" s="13" t="n">
        <v>8238.75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1420.67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3" t="n">
        <v>272640.37</v>
      </c>
    </row>
    <row r="101">
      <c r="A101" s="16" t="inlineStr">
        <is>
          <t>Dual-View NAV 双账户法NAV</t>
        </is>
      </c>
      <c r="B101" s="4" t="n">
        <v>316451.55</v>
      </c>
      <c r="C101" s="4" t="n">
        <v>310738.96</v>
      </c>
      <c r="D101" s="4" t="n">
        <v>297096.95</v>
      </c>
      <c r="E101" s="4" t="n">
        <v>461850.28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5712.59</v>
      </c>
      <c r="C5" s="4" t="n">
        <v>28008.94</v>
      </c>
      <c r="D5" s="19" t="n">
        <v>-136485.84</v>
      </c>
      <c r="E5" s="4" t="n">
        <v>12799.41</v>
      </c>
    </row>
    <row r="6">
      <c r="A6" s="12" t="inlineStr">
        <is>
          <t>Interest expense (est)</t>
        </is>
      </c>
      <c r="B6" s="15" t="n">
        <v>80.54000000000001</v>
      </c>
      <c r="C6" s="13" t="n">
        <v>402.69</v>
      </c>
      <c r="D6" s="13" t="n">
        <v>1691.31</v>
      </c>
      <c r="E6" s="13" t="n">
        <v>15785.6</v>
      </c>
    </row>
    <row r="7">
      <c r="A7" s="10" t="inlineStr">
        <is>
          <t>Current unrealized PnL</t>
        </is>
      </c>
      <c r="B7" s="4" t="n">
        <v>31055.21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4" t="n">
        <v>8654.34</v>
      </c>
      <c r="D11" s="4" t="n">
        <v>8912.889999999999</v>
      </c>
      <c r="E11" s="4" t="n">
        <v>108514.71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5712.59</v>
      </c>
      <c r="C17" s="4" t="n">
        <v>19354.6</v>
      </c>
      <c r="D17" s="19" t="n">
        <v>-145398.73</v>
      </c>
      <c r="E17" s="19" t="n">
        <v>-95715.3</v>
      </c>
    </row>
    <row r="18">
      <c r="A18" s="12" t="inlineStr">
        <is>
          <t>Interest expense (est)</t>
        </is>
      </c>
      <c r="B18" s="13" t="n">
        <v>165.18</v>
      </c>
      <c r="C18" s="13" t="n">
        <v>825.88</v>
      </c>
      <c r="D18" s="13" t="n">
        <v>3468.68</v>
      </c>
      <c r="E18" s="13" t="n">
        <v>32374.36</v>
      </c>
    </row>
    <row r="19">
      <c r="A19" s="10" t="inlineStr">
        <is>
          <t>Current unrealized PnL</t>
        </is>
      </c>
      <c r="B19" s="4" t="n">
        <v>31055.21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928585.61</v>
      </c>
      <c r="C5" s="4" t="n">
        <v>906289.26</v>
      </c>
      <c r="D5" s="4" t="n">
        <v>1070784.04</v>
      </c>
      <c r="E5" s="4" t="n">
        <v>921498.79</v>
      </c>
    </row>
    <row r="6">
      <c r="A6" s="12" t="inlineStr">
        <is>
          <t>Net income</t>
        </is>
      </c>
      <c r="B6" s="13" t="n">
        <v>5712.59</v>
      </c>
      <c r="C6" s="13" t="n">
        <v>28008.94</v>
      </c>
      <c r="D6" s="18" t="n">
        <v>-136485.84</v>
      </c>
      <c r="E6" s="13" t="n">
        <v>12799.41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934298.2</v>
      </c>
      <c r="C9" s="4" t="n">
        <v>934298.2</v>
      </c>
      <c r="D9" s="4" t="n">
        <v>934298.2</v>
      </c>
      <c r="E9" s="4" t="n">
        <v>934298.2</v>
      </c>
    </row>
    <row r="10">
      <c r="A10" s="12" t="inlineStr">
        <is>
          <t>Return (%)</t>
        </is>
      </c>
      <c r="B10" s="20" t="n">
        <v>0.62</v>
      </c>
      <c r="C10" s="20" t="n">
        <v>3.09</v>
      </c>
      <c r="D10" s="21" t="n">
        <v>-12.75</v>
      </c>
      <c r="E10" s="20" t="n">
        <v>1.39</v>
      </c>
    </row>
    <row r="11">
      <c r="A11" s="10" t="inlineStr">
        <is>
          <t>Max drawdown (%)</t>
        </is>
      </c>
      <c r="B11" s="22" t="n">
        <v>0</v>
      </c>
      <c r="C11" s="23" t="n">
        <v>-2.24</v>
      </c>
      <c r="D11" s="23" t="n">
        <v>-18.21</v>
      </c>
      <c r="E11" s="23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617846.65</v>
      </c>
      <c r="C15" s="4" t="n">
        <v>609192.3100000001</v>
      </c>
      <c r="D15" s="4" t="n">
        <v>608933.76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3" t="n">
        <v>8654.34</v>
      </c>
      <c r="D16" s="13" t="n">
        <v>8912.889999999999</v>
      </c>
      <c r="E16" s="13" t="n">
        <v>108514.71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617846.65</v>
      </c>
      <c r="C19" s="4" t="n">
        <v>617846.65</v>
      </c>
      <c r="D19" s="4" t="n">
        <v>617846.65</v>
      </c>
      <c r="E19" s="4" t="n">
        <v>617846.65</v>
      </c>
    </row>
    <row r="20">
      <c r="A20" s="12" t="inlineStr">
        <is>
          <t>Return (%)</t>
        </is>
      </c>
      <c r="B20" s="20" t="n">
        <v>0</v>
      </c>
      <c r="C20" s="20" t="n">
        <v>1.42</v>
      </c>
      <c r="D20" s="20" t="n">
        <v>1.46</v>
      </c>
      <c r="E20" s="20" t="n">
        <v>21.31</v>
      </c>
    </row>
    <row r="21">
      <c r="A21" s="10" t="inlineStr">
        <is>
          <t>Max drawdown (%)</t>
        </is>
      </c>
      <c r="B21" s="22" t="n">
        <v>0</v>
      </c>
      <c r="C21" s="23" t="n">
        <v>-0.06</v>
      </c>
      <c r="D21" s="23" t="n">
        <v>-2.43</v>
      </c>
      <c r="E21" s="23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310738.96</v>
      </c>
      <c r="C25" s="4" t="n">
        <v>297096.95</v>
      </c>
      <c r="D25" s="4" t="n">
        <v>461850.28</v>
      </c>
      <c r="E25" s="4" t="n">
        <v>412166.85</v>
      </c>
    </row>
    <row r="26">
      <c r="A26" s="12" t="inlineStr">
        <is>
          <t>Net income</t>
        </is>
      </c>
      <c r="B26" s="13" t="n">
        <v>5712.59</v>
      </c>
      <c r="C26" s="13" t="n">
        <v>19354.6</v>
      </c>
      <c r="D26" s="18" t="n">
        <v>-145398.73</v>
      </c>
      <c r="E26" s="18" t="n">
        <v>-95715.3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316451.55</v>
      </c>
      <c r="C29" s="4" t="n">
        <v>316451.55</v>
      </c>
      <c r="D29" s="4" t="n">
        <v>316451.55</v>
      </c>
      <c r="E29" s="4" t="n">
        <v>316451.55</v>
      </c>
    </row>
    <row r="30">
      <c r="A30" s="12" t="inlineStr">
        <is>
          <t>Return (%)</t>
        </is>
      </c>
      <c r="B30" s="20" t="n">
        <v>1.84</v>
      </c>
      <c r="C30" s="20" t="n">
        <v>6.51</v>
      </c>
      <c r="D30" s="21" t="n">
        <v>-31.48</v>
      </c>
      <c r="E30" s="21" t="n">
        <v>-23.22</v>
      </c>
    </row>
    <row r="31">
      <c r="A31" s="10" t="inlineStr">
        <is>
          <t>Max drawdown (%)</t>
        </is>
      </c>
      <c r="B31" s="22" t="n">
        <v>0</v>
      </c>
      <c r="C31" s="23" t="n">
        <v>-7.91</v>
      </c>
      <c r="D31" s="23" t="n">
        <v>-41.53</v>
      </c>
      <c r="E31" s="23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28008.94</v>
      </c>
    </row>
    <row r="5">
      <c r="A5" s="3" t="inlineStr">
        <is>
          <t>Investing cash flow</t>
        </is>
      </c>
      <c r="B5" s="19" t="n">
        <v>-649930.84</v>
      </c>
    </row>
    <row r="6">
      <c r="A6" s="3" t="inlineStr">
        <is>
          <t>Financing cash flow</t>
        </is>
      </c>
      <c r="B6" s="4" t="n">
        <v>587933.1899999999</v>
      </c>
    </row>
    <row r="7">
      <c r="A7" s="3" t="inlineStr">
        <is>
          <t>Net change in cash</t>
        </is>
      </c>
      <c r="B7" s="19" t="n">
        <v>-33988.71</v>
      </c>
    </row>
    <row r="8">
      <c r="A8" s="3" t="inlineStr">
        <is>
          <t>Beginning cash</t>
        </is>
      </c>
      <c r="B8" s="4" t="n">
        <v>180695.79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  <row r="197">
      <c r="A197" s="12" t="inlineStr">
        <is>
          <t>2026-08-07</t>
        </is>
      </c>
      <c r="B197" s="13" t="n">
        <v>894329.6899999999</v>
      </c>
    </row>
    <row r="198">
      <c r="A198" s="10" t="inlineStr">
        <is>
          <t>2026-08-10</t>
        </is>
      </c>
      <c r="B198" s="4" t="n">
        <v>928585.61</v>
      </c>
    </row>
    <row r="199">
      <c r="A199" s="12" t="inlineStr">
        <is>
          <t>2026-08-11</t>
        </is>
      </c>
      <c r="B199" s="13" t="n">
        <v>934298.2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934298.2</v>
      </c>
      <c r="C4" s="4" t="n">
        <v>1509105.77</v>
      </c>
      <c r="D4" s="4" t="n">
        <v>656281.02</v>
      </c>
      <c r="E4" s="4" t="n">
        <v>2165386.79</v>
      </c>
      <c r="F4" s="4" t="n">
        <v>852824.75</v>
      </c>
      <c r="G4" s="5" t="n">
        <v>2.318</v>
      </c>
      <c r="H4" s="5" t="n">
        <v>0.913</v>
      </c>
      <c r="I4" s="5" t="n">
        <v>231.77</v>
      </c>
      <c r="J4" s="5" t="n">
        <v>115.88</v>
      </c>
      <c r="K4" s="24" t="n">
        <v>9</v>
      </c>
    </row>
    <row r="5">
      <c r="A5" s="12" t="inlineStr">
        <is>
          <t>MRPT</t>
        </is>
      </c>
      <c r="B5" s="13" t="n">
        <v>617846.65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316451.55</v>
      </c>
      <c r="C6" s="4" t="n">
        <v>1509105.77</v>
      </c>
      <c r="D6" s="4" t="n">
        <v>656281.02</v>
      </c>
      <c r="E6" s="4" t="n">
        <v>2165386.79</v>
      </c>
      <c r="F6" s="4" t="n">
        <v>852824.75</v>
      </c>
      <c r="G6" s="5" t="n">
        <v>6.843</v>
      </c>
      <c r="H6" s="5" t="n">
        <v>2.695</v>
      </c>
      <c r="I6" s="5" t="n">
        <v>684.27</v>
      </c>
      <c r="J6" s="5" t="n">
        <v>342.14</v>
      </c>
      <c r="K6" s="24" t="n">
        <v>9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HHI=0.1245  ·  effective N pairs=8.0  ·  max pair=17.3%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MU</t>
        </is>
      </c>
      <c r="B6" s="4" t="n">
        <v>599278.8</v>
      </c>
      <c r="C6" s="4" t="n">
        <v>599278.8</v>
      </c>
      <c r="D6" s="22" t="n">
        <v>64.14</v>
      </c>
      <c r="E6" s="22" t="n">
        <v>27.68</v>
      </c>
      <c r="F6" s="24" t="n">
        <v>2</v>
      </c>
    </row>
    <row r="7">
      <c r="A7" s="12" t="inlineStr">
        <is>
          <t>CRL</t>
        </is>
      </c>
      <c r="B7" s="13" t="n">
        <v>276360</v>
      </c>
      <c r="C7" s="13" t="n">
        <v>276360</v>
      </c>
      <c r="D7" s="20" t="n">
        <v>29.58</v>
      </c>
      <c r="E7" s="20" t="n">
        <v>12.76</v>
      </c>
      <c r="F7" s="26" t="n">
        <v>2</v>
      </c>
    </row>
    <row r="8">
      <c r="A8" s="10" t="inlineStr">
        <is>
          <t>NTAP</t>
        </is>
      </c>
      <c r="B8" s="4" t="n">
        <v>274087.07</v>
      </c>
      <c r="C8" s="4" t="n">
        <v>274087.07</v>
      </c>
      <c r="D8" s="22" t="n">
        <v>29.34</v>
      </c>
      <c r="E8" s="22" t="n">
        <v>12.66</v>
      </c>
      <c r="F8" s="24" t="n">
        <v>2</v>
      </c>
    </row>
    <row r="9">
      <c r="A9" s="12" t="inlineStr">
        <is>
          <t>DGX</t>
        </is>
      </c>
      <c r="B9" s="13" t="n">
        <v>152000</v>
      </c>
      <c r="C9" s="13" t="n">
        <v>152000</v>
      </c>
      <c r="D9" s="20" t="n">
        <v>16.27</v>
      </c>
      <c r="E9" s="20" t="n">
        <v>7.02</v>
      </c>
      <c r="F9" s="26" t="n">
        <v>1</v>
      </c>
    </row>
    <row r="10">
      <c r="A10" s="10" t="inlineStr">
        <is>
          <t>NKE</t>
        </is>
      </c>
      <c r="B10" s="4" t="n">
        <v>147677.68</v>
      </c>
      <c r="C10" s="19" t="n">
        <v>-147677.68</v>
      </c>
      <c r="D10" s="22" t="n">
        <v>15.81</v>
      </c>
      <c r="E10" s="22" t="n">
        <v>6.82</v>
      </c>
      <c r="F10" s="24" t="n">
        <v>1</v>
      </c>
    </row>
    <row r="11">
      <c r="A11" s="12" t="inlineStr">
        <is>
          <t>TXT</t>
        </is>
      </c>
      <c r="B11" s="13" t="n">
        <v>133285.31</v>
      </c>
      <c r="C11" s="18" t="n">
        <v>-133285.31</v>
      </c>
      <c r="D11" s="20" t="n">
        <v>14.27</v>
      </c>
      <c r="E11" s="20" t="n">
        <v>6.16</v>
      </c>
      <c r="F11" s="26" t="n">
        <v>2</v>
      </c>
    </row>
    <row r="12">
      <c r="A12" s="10" t="inlineStr">
        <is>
          <t>HPE</t>
        </is>
      </c>
      <c r="B12" s="4" t="n">
        <v>104137.7</v>
      </c>
      <c r="C12" s="4" t="n">
        <v>104137.7</v>
      </c>
      <c r="D12" s="22" t="n">
        <v>11.15</v>
      </c>
      <c r="E12" s="22" t="n">
        <v>4.81</v>
      </c>
      <c r="F12" s="24" t="n">
        <v>1</v>
      </c>
    </row>
    <row r="13">
      <c r="A13" s="12" t="inlineStr">
        <is>
          <t>PANW</t>
        </is>
      </c>
      <c r="B13" s="13" t="n">
        <v>103242.2</v>
      </c>
      <c r="C13" s="13" t="n">
        <v>103242.2</v>
      </c>
      <c r="D13" s="20" t="n">
        <v>11.05</v>
      </c>
      <c r="E13" s="20" t="n">
        <v>4.77</v>
      </c>
      <c r="F13" s="26" t="n">
        <v>1</v>
      </c>
    </row>
    <row r="14">
      <c r="A14" s="10" t="inlineStr">
        <is>
          <t>TMUS</t>
        </is>
      </c>
      <c r="B14" s="4" t="n">
        <v>75003.60000000001</v>
      </c>
      <c r="C14" s="19" t="n">
        <v>-75003.60000000001</v>
      </c>
      <c r="D14" s="22" t="n">
        <v>8.029999999999999</v>
      </c>
      <c r="E14" s="22" t="n">
        <v>3.46</v>
      </c>
      <c r="F14" s="24" t="n">
        <v>1</v>
      </c>
    </row>
    <row r="15">
      <c r="A15" s="12" t="inlineStr">
        <is>
          <t>SRE</t>
        </is>
      </c>
      <c r="B15" s="13" t="n">
        <v>74965.96000000001</v>
      </c>
      <c r="C15" s="18" t="n">
        <v>-74965.96000000001</v>
      </c>
      <c r="D15" s="20" t="n">
        <v>8.02</v>
      </c>
      <c r="E15" s="20" t="n">
        <v>3.46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1080745.77</v>
      </c>
      <c r="C20" s="11" t="n">
        <v>0</v>
      </c>
      <c r="D20" s="4" t="n">
        <v>1080745.77</v>
      </c>
      <c r="E20" s="7" t="n">
        <v>49.91</v>
      </c>
    </row>
    <row r="21">
      <c r="A21" s="12" t="inlineStr">
        <is>
          <t>health</t>
        </is>
      </c>
      <c r="B21" s="13" t="n">
        <v>428360</v>
      </c>
      <c r="C21" s="15" t="n">
        <v>0</v>
      </c>
      <c r="D21" s="13" t="n">
        <v>428360</v>
      </c>
      <c r="E21" s="17" t="n">
        <v>19.78</v>
      </c>
    </row>
    <row r="22">
      <c r="A22" s="10" t="inlineStr">
        <is>
          <t>food</t>
        </is>
      </c>
      <c r="B22" s="11" t="n">
        <v>0</v>
      </c>
      <c r="C22" s="4" t="n">
        <v>269763.9</v>
      </c>
      <c r="D22" s="19" t="n">
        <v>-269763.9</v>
      </c>
      <c r="E22" s="7" t="n">
        <v>-12.46</v>
      </c>
    </row>
    <row r="23">
      <c r="A23" s="12" t="inlineStr">
        <is>
          <t>industrial</t>
        </is>
      </c>
      <c r="B23" s="15" t="n">
        <v>0</v>
      </c>
      <c r="C23" s="13" t="n">
        <v>133285.31</v>
      </c>
      <c r="D23" s="18" t="n">
        <v>-133285.31</v>
      </c>
      <c r="E23" s="17" t="n">
        <v>-6.16</v>
      </c>
    </row>
    <row r="24">
      <c r="A24" s="10" t="inlineStr">
        <is>
          <t>telecom</t>
        </is>
      </c>
      <c r="B24" s="11" t="n">
        <v>0</v>
      </c>
      <c r="C24" s="4" t="n">
        <v>75003.60000000001</v>
      </c>
      <c r="D24" s="19" t="n">
        <v>-75003.60000000001</v>
      </c>
      <c r="E24" s="7" t="n">
        <v>-3.46</v>
      </c>
    </row>
    <row r="25">
      <c r="A25" s="12" t="inlineStr">
        <is>
          <t>utilities</t>
        </is>
      </c>
      <c r="B25" s="15" t="n">
        <v>0</v>
      </c>
      <c r="C25" s="13" t="n">
        <v>74965.96000000001</v>
      </c>
      <c r="D25" s="18" t="n">
        <v>-74965.96000000001</v>
      </c>
      <c r="E25" s="17" t="n">
        <v>-3.46</v>
      </c>
    </row>
    <row r="26">
      <c r="A26" s="10" t="inlineStr">
        <is>
          <t>materials</t>
        </is>
      </c>
      <c r="B26" s="11" t="n">
        <v>0</v>
      </c>
      <c r="C26" s="4" t="n">
        <v>58135.35</v>
      </c>
      <c r="D26" s="19" t="n">
        <v>-58135.35</v>
      </c>
      <c r="E26" s="7" t="n">
        <v>-2.68</v>
      </c>
    </row>
    <row r="27">
      <c r="A27" s="12" t="inlineStr">
        <is>
          <t>other</t>
        </is>
      </c>
      <c r="B27" s="15" t="n">
        <v>0</v>
      </c>
      <c r="C27" s="13" t="n">
        <v>45126.9</v>
      </c>
      <c r="D27" s="18" t="n">
        <v>-45126.9</v>
      </c>
      <c r="E27" s="17" t="n">
        <v>-2.08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3.679</v>
      </c>
    </row>
    <row r="4">
      <c r="A4" s="3" t="inlineStr">
        <is>
          <t>Gross beta</t>
        </is>
      </c>
      <c r="B4" s="5" t="n">
        <v>4.38</v>
      </c>
    </row>
    <row r="5">
      <c r="A5" s="3" t="inlineStr">
        <is>
          <t>Momentum factor net (% NAV)</t>
        </is>
      </c>
      <c r="B5" s="5" t="n">
        <v>91.28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49.91</v>
      </c>
    </row>
    <row r="11">
      <c r="A11" s="12" t="inlineStr">
        <is>
          <t>health</t>
        </is>
      </c>
      <c r="B11" s="20" t="n">
        <v>19.78</v>
      </c>
    </row>
    <row r="12">
      <c r="A12" s="10" t="inlineStr">
        <is>
          <t>food</t>
        </is>
      </c>
      <c r="B12" s="23" t="n">
        <v>-12.46</v>
      </c>
    </row>
    <row r="13">
      <c r="A13" s="12" t="inlineStr">
        <is>
          <t>industrial</t>
        </is>
      </c>
      <c r="B13" s="21" t="n">
        <v>-6.16</v>
      </c>
    </row>
    <row r="14">
      <c r="A14" s="10" t="inlineStr">
        <is>
          <t>utilities</t>
        </is>
      </c>
      <c r="B14" s="23" t="n">
        <v>-3.46</v>
      </c>
    </row>
    <row r="15">
      <c r="A15" s="12" t="inlineStr">
        <is>
          <t>telecom</t>
        </is>
      </c>
      <c r="B15" s="21" t="n">
        <v>-3.46</v>
      </c>
    </row>
    <row r="16">
      <c r="A16" s="10" t="inlineStr">
        <is>
          <t>materials</t>
        </is>
      </c>
      <c r="B16" s="23" t="n">
        <v>-2.68</v>
      </c>
    </row>
    <row r="17">
      <c r="A17" s="12" t="inlineStr">
        <is>
          <t>other</t>
        </is>
      </c>
      <c r="B17" s="21" t="n">
        <v>-2.08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86574.14999999999</v>
      </c>
    </row>
    <row r="4">
      <c r="A4" s="3" t="inlineStr">
        <is>
          <t>Parametric VaR 99% 1d ($)</t>
        </is>
      </c>
      <c r="B4" s="4" t="n">
        <v>122414.26</v>
      </c>
    </row>
    <row r="5">
      <c r="A5" s="3" t="inlineStr">
        <is>
          <t>Annual vol ($)</t>
        </is>
      </c>
      <c r="B5" s="4" t="n">
        <v>835454.08</v>
      </c>
    </row>
    <row r="6">
      <c r="A6" s="3" t="inlineStr">
        <is>
          <t>Annual vol (% NAV)</t>
        </is>
      </c>
      <c r="B6" s="5" t="n">
        <v>89.42</v>
      </c>
    </row>
    <row r="7">
      <c r="A7" s="3" t="inlineStr">
        <is>
          <t>Historical VaR 95% 1d ($)</t>
        </is>
      </c>
      <c r="B7" s="4" t="n">
        <v>78320.69</v>
      </c>
    </row>
    <row r="8">
      <c r="A8" s="3" t="inlineStr">
        <is>
          <t>Historical CVaR 95% 1d ($)</t>
        </is>
      </c>
      <c r="B8" s="4" t="n">
        <v>95981.21000000001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MU/SRE</t>
        </is>
      </c>
      <c r="B12" s="4" t="n">
        <v>35460.25</v>
      </c>
      <c r="C12" s="7" t="n">
        <v>40.96</v>
      </c>
    </row>
    <row r="13">
      <c r="A13" s="12" t="inlineStr">
        <is>
          <t>MU/TXT</t>
        </is>
      </c>
      <c r="B13" s="13" t="n">
        <v>34918.14</v>
      </c>
      <c r="C13" s="17" t="n">
        <v>40.33</v>
      </c>
    </row>
    <row r="14">
      <c r="A14" s="10" t="inlineStr">
        <is>
          <t>HPE/LKQ</t>
        </is>
      </c>
      <c r="B14" s="4" t="n">
        <v>4218.11</v>
      </c>
      <c r="C14" s="7" t="n">
        <v>4.87</v>
      </c>
    </row>
    <row r="15">
      <c r="A15" s="12" t="inlineStr">
        <is>
          <t>NTAP/MAR</t>
        </is>
      </c>
      <c r="B15" s="13" t="n">
        <v>3878.39</v>
      </c>
      <c r="C15" s="17" t="n">
        <v>4.48</v>
      </c>
    </row>
    <row r="16">
      <c r="A16" s="10" t="inlineStr">
        <is>
          <t>NTAP/TXT</t>
        </is>
      </c>
      <c r="B16" s="4" t="n">
        <v>2519.52</v>
      </c>
      <c r="C16" s="7" t="n">
        <v>2.91</v>
      </c>
    </row>
    <row r="17">
      <c r="A17" s="12" t="inlineStr">
        <is>
          <t>CRL/TMUS</t>
        </is>
      </c>
      <c r="B17" s="13" t="n">
        <v>2302.44</v>
      </c>
      <c r="C17" s="17" t="n">
        <v>2.66</v>
      </c>
    </row>
    <row r="18">
      <c r="A18" s="10" t="inlineStr">
        <is>
          <t>PANW/DECK</t>
        </is>
      </c>
      <c r="B18" s="4" t="n">
        <v>1800.2</v>
      </c>
      <c r="C18" s="7" t="n">
        <v>2.08</v>
      </c>
    </row>
    <row r="19">
      <c r="A19" s="12" t="inlineStr">
        <is>
          <t>CRL/MLM</t>
        </is>
      </c>
      <c r="B19" s="13" t="n">
        <v>857.47</v>
      </c>
      <c r="C19" s="17" t="n">
        <v>0.99</v>
      </c>
    </row>
    <row r="20">
      <c r="A20" s="10" t="inlineStr">
        <is>
          <t>DGX/NKE</t>
        </is>
      </c>
      <c r="B20" s="4" t="n">
        <v>619.62</v>
      </c>
      <c r="C20" s="7" t="n">
        <v>0.72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DGX</t>
        </is>
      </c>
      <c r="B6" s="7" t="inlineStr">
        <is>
          <t>DGX/NKE</t>
        </is>
      </c>
      <c r="C6" s="4" t="n">
        <v>640</v>
      </c>
      <c r="D6" s="4" t="n">
        <v>1133468</v>
      </c>
      <c r="E6" s="7" t="n">
        <v>0</v>
      </c>
    </row>
    <row r="7">
      <c r="A7" s="12" t="inlineStr">
        <is>
          <t>NKE</t>
        </is>
      </c>
      <c r="B7" s="17" t="inlineStr">
        <is>
          <t>DGX/NKE</t>
        </is>
      </c>
      <c r="C7" s="13" t="n">
        <v>3574</v>
      </c>
      <c r="D7" s="13" t="n">
        <v>19355932</v>
      </c>
      <c r="E7" s="17" t="n">
        <v>0</v>
      </c>
    </row>
    <row r="8">
      <c r="A8" s="10" t="inlineStr">
        <is>
          <t>NTAP</t>
        </is>
      </c>
      <c r="B8" s="7" t="inlineStr">
        <is>
          <t>NTAP/TXT</t>
        </is>
      </c>
      <c r="C8" s="4" t="n">
        <v>625</v>
      </c>
      <c r="D8" s="4" t="n">
        <v>2430553</v>
      </c>
      <c r="E8" s="7" t="n">
        <v>0</v>
      </c>
    </row>
    <row r="9">
      <c r="A9" s="12" t="inlineStr">
        <is>
          <t>TXT</t>
        </is>
      </c>
      <c r="B9" s="17" t="inlineStr">
        <is>
          <t>NTAP/TXT</t>
        </is>
      </c>
      <c r="C9" s="13" t="n">
        <v>660</v>
      </c>
      <c r="D9" s="13" t="n">
        <v>1849455</v>
      </c>
      <c r="E9" s="17" t="n">
        <v>0</v>
      </c>
    </row>
    <row r="10">
      <c r="A10" s="10" t="inlineStr">
        <is>
          <t>CRL</t>
        </is>
      </c>
      <c r="B10" s="7" t="inlineStr">
        <is>
          <t>CRL/MLM</t>
        </is>
      </c>
      <c r="C10" s="4" t="n">
        <v>448</v>
      </c>
      <c r="D10" s="4" t="n">
        <v>931240</v>
      </c>
      <c r="E10" s="7" t="n">
        <v>0</v>
      </c>
    </row>
    <row r="11">
      <c r="A11" s="12" t="inlineStr">
        <is>
          <t>MLM</t>
        </is>
      </c>
      <c r="B11" s="17" t="inlineStr">
        <is>
          <t>CRL/MLM</t>
        </is>
      </c>
      <c r="C11" s="13" t="n">
        <v>105</v>
      </c>
      <c r="D11" s="13" t="n">
        <v>591899</v>
      </c>
      <c r="E11" s="17" t="n">
        <v>0</v>
      </c>
    </row>
    <row r="12">
      <c r="A12" s="10" t="inlineStr">
        <is>
          <t>HPE</t>
        </is>
      </c>
      <c r="B12" s="7" t="inlineStr">
        <is>
          <t>HPE/LKQ</t>
        </is>
      </c>
      <c r="C12" s="4" t="n">
        <v>1915</v>
      </c>
      <c r="D12" s="4" t="n">
        <v>16408666</v>
      </c>
      <c r="E12" s="7" t="n">
        <v>0</v>
      </c>
    </row>
    <row r="13">
      <c r="A13" s="12" t="inlineStr">
        <is>
          <t>LKQ</t>
        </is>
      </c>
      <c r="B13" s="17" t="inlineStr">
        <is>
          <t>HPE/LKQ</t>
        </is>
      </c>
      <c r="C13" s="13" t="n">
        <v>1827</v>
      </c>
      <c r="D13" s="13" t="n">
        <v>3612249</v>
      </c>
      <c r="E13" s="17" t="n">
        <v>0</v>
      </c>
    </row>
    <row r="14">
      <c r="A14" s="10" t="inlineStr">
        <is>
          <t>PANW</t>
        </is>
      </c>
      <c r="B14" s="7" t="inlineStr">
        <is>
          <t>PANW/DECK</t>
        </is>
      </c>
      <c r="C14" s="4" t="n">
        <v>269</v>
      </c>
      <c r="D14" s="4" t="n">
        <v>6177632</v>
      </c>
      <c r="E14" s="7" t="n">
        <v>0</v>
      </c>
    </row>
    <row r="15">
      <c r="A15" s="12" t="inlineStr">
        <is>
          <t>DECK</t>
        </is>
      </c>
      <c r="B15" s="17" t="inlineStr">
        <is>
          <t>PANW/DECK</t>
        </is>
      </c>
      <c r="C15" s="13" t="n">
        <v>504</v>
      </c>
      <c r="D15" s="13" t="n">
        <v>2367783</v>
      </c>
      <c r="E15" s="17" t="n">
        <v>0</v>
      </c>
    </row>
    <row r="16">
      <c r="A16" s="10" t="inlineStr">
        <is>
          <t>MU</t>
        </is>
      </c>
      <c r="B16" s="7" t="inlineStr">
        <is>
          <t>MU/SRE</t>
        </is>
      </c>
      <c r="C16" s="4" t="n">
        <v>345</v>
      </c>
      <c r="D16" s="4" t="n">
        <v>45169482</v>
      </c>
      <c r="E16" s="7" t="n">
        <v>0</v>
      </c>
    </row>
    <row r="17">
      <c r="A17" s="12" t="inlineStr">
        <is>
          <t>SRE</t>
        </is>
      </c>
      <c r="B17" s="17" t="inlineStr">
        <is>
          <t>MU/SRE</t>
        </is>
      </c>
      <c r="C17" s="13" t="n">
        <v>877</v>
      </c>
      <c r="D17" s="13" t="n">
        <v>3516270</v>
      </c>
      <c r="E17" s="17" t="n">
        <v>0</v>
      </c>
    </row>
    <row r="18">
      <c r="A18" s="10" t="inlineStr">
        <is>
          <t>MU</t>
        </is>
      </c>
      <c r="B18" s="7" t="inlineStr">
        <is>
          <t>MU/TXT</t>
        </is>
      </c>
      <c r="C18" s="4" t="n">
        <v>345</v>
      </c>
      <c r="D18" s="4" t="n">
        <v>45169482</v>
      </c>
      <c r="E18" s="7" t="n">
        <v>0</v>
      </c>
    </row>
    <row r="19">
      <c r="A19" s="12" t="inlineStr">
        <is>
          <t>TXT</t>
        </is>
      </c>
      <c r="B19" s="17" t="inlineStr">
        <is>
          <t>MU/TXT</t>
        </is>
      </c>
      <c r="C19" s="13" t="n">
        <v>851</v>
      </c>
      <c r="D19" s="13" t="n">
        <v>1849455</v>
      </c>
      <c r="E19" s="17" t="n">
        <v>0</v>
      </c>
    </row>
    <row r="20">
      <c r="A20" s="10" t="inlineStr">
        <is>
          <t>CRL</t>
        </is>
      </c>
      <c r="B20" s="7" t="inlineStr">
        <is>
          <t>CRL/TMUS</t>
        </is>
      </c>
      <c r="C20" s="4" t="n">
        <v>532</v>
      </c>
      <c r="D20" s="4" t="n">
        <v>931240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-171864.15</v>
      </c>
      <c r="C4" s="23" t="n">
        <v>-18.39</v>
      </c>
    </row>
    <row r="5">
      <c r="A5" s="12" t="inlineStr">
        <is>
          <t>SPY -10%</t>
        </is>
      </c>
      <c r="B5" s="18" t="n">
        <v>-343728.31</v>
      </c>
      <c r="C5" s="21" t="n">
        <v>-36.79</v>
      </c>
    </row>
    <row r="6">
      <c r="A6" s="10" t="inlineStr">
        <is>
          <t>VIX +10pt</t>
        </is>
      </c>
      <c r="B6" s="19" t="n">
        <v>-171864.15</v>
      </c>
      <c r="C6" s="23" t="n">
        <v>-18.39</v>
      </c>
    </row>
    <row r="7">
      <c r="A7" s="12" t="inlineStr">
        <is>
          <t>Top sector -10%</t>
        </is>
      </c>
      <c r="B7" s="18" t="n">
        <v>-108074.58</v>
      </c>
      <c r="C7" s="21" t="n">
        <v>-11.57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6.84</v>
      </c>
      <c r="D6" s="32" t="n">
        <v>5.5</v>
      </c>
      <c r="E6" s="32" t="n">
        <v>8</v>
      </c>
      <c r="F6" s="32" t="inlineStr">
        <is>
          <t>amber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2.69</v>
      </c>
      <c r="D7" s="32" t="n">
        <v>2</v>
      </c>
      <c r="E7" s="32" t="n">
        <v>3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MU</t>
        </is>
      </c>
      <c r="C8" s="34" t="n">
        <v>64.14</v>
      </c>
      <c r="D8" s="34" t="n">
        <v>30</v>
      </c>
      <c r="E8" s="34" t="n">
        <v>45</v>
      </c>
      <c r="F8" s="34" t="inlineStr">
        <is>
          <t>red</t>
        </is>
      </c>
    </row>
    <row r="9">
      <c r="A9" s="29" t="inlineStr">
        <is>
          <t>single_name_gross</t>
        </is>
      </c>
      <c r="B9" s="30" t="inlineStr">
        <is>
          <t>CRL</t>
        </is>
      </c>
      <c r="C9" s="30" t="n">
        <v>29.58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NTAP</t>
        </is>
      </c>
      <c r="C10" s="30" t="n">
        <v>29.34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49.91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17.3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3.68</v>
      </c>
      <c r="D13" s="34" t="n">
        <v>2</v>
      </c>
      <c r="E13" s="34" t="n">
        <v>3</v>
      </c>
      <c r="F13" s="34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9.27</v>
      </c>
      <c r="D14" s="34" t="n">
        <v>4</v>
      </c>
      <c r="E14" s="34" t="n">
        <v>5.5</v>
      </c>
      <c r="F14" s="34" t="inlineStr">
        <is>
          <t>red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9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DGX/NKE</t>
        </is>
      </c>
      <c r="C4" s="17" t="inlineStr">
        <is>
          <t>DGX</t>
        </is>
      </c>
      <c r="D4" s="17" t="inlineStr">
        <is>
          <t>long</t>
        </is>
      </c>
      <c r="E4" s="26" t="n">
        <v>640</v>
      </c>
      <c r="F4" s="13" t="n">
        <v>237.5</v>
      </c>
      <c r="G4" s="13" t="n">
        <v>152000</v>
      </c>
      <c r="H4" s="17" t="inlineStr">
        <is>
          <t>health</t>
        </is>
      </c>
      <c r="I4" s="17" t="n">
        <v>7</v>
      </c>
      <c r="J4" s="17" t="inlineStr">
        <is>
          <t>entry_threshold_strong</t>
        </is>
      </c>
    </row>
    <row r="5">
      <c r="A5" s="10" t="inlineStr">
        <is>
          <t>MTFS</t>
        </is>
      </c>
      <c r="B5" s="7" t="inlineStr">
        <is>
          <t>DGX/NKE</t>
        </is>
      </c>
      <c r="C5" s="7" t="inlineStr">
        <is>
          <t>NKE</t>
        </is>
      </c>
      <c r="D5" s="7" t="inlineStr">
        <is>
          <t>short</t>
        </is>
      </c>
      <c r="E5" s="24" t="n">
        <v>-3574</v>
      </c>
      <c r="F5" s="11" t="n">
        <v>41.32</v>
      </c>
      <c r="G5" s="19" t="n">
        <v>-147677.68</v>
      </c>
      <c r="H5" s="7" t="inlineStr">
        <is>
          <t>food</t>
        </is>
      </c>
      <c r="I5" s="7" t="n">
        <v>7</v>
      </c>
      <c r="J5" s="7" t="inlineStr">
        <is>
          <t>entry_threshold_strong</t>
        </is>
      </c>
    </row>
    <row r="6">
      <c r="A6" s="12" t="inlineStr">
        <is>
          <t>MTFS</t>
        </is>
      </c>
      <c r="B6" s="17" t="inlineStr">
        <is>
          <t>NTAP/TXT</t>
        </is>
      </c>
      <c r="C6" s="17" t="inlineStr">
        <is>
          <t>NTAP</t>
        </is>
      </c>
      <c r="D6" s="17" t="inlineStr">
        <is>
          <t>long</t>
        </is>
      </c>
      <c r="E6" s="26" t="n">
        <v>625</v>
      </c>
      <c r="F6" s="13" t="n">
        <v>198.47</v>
      </c>
      <c r="G6" s="13" t="n">
        <v>124043.75</v>
      </c>
      <c r="H6" s="17" t="inlineStr">
        <is>
          <t>tech</t>
        </is>
      </c>
      <c r="I6" s="17" t="n">
        <v>4</v>
      </c>
      <c r="J6" s="17" t="inlineStr">
        <is>
          <t>no_skip_month</t>
        </is>
      </c>
    </row>
    <row r="7">
      <c r="A7" s="10" t="inlineStr">
        <is>
          <t>MTFS</t>
        </is>
      </c>
      <c r="B7" s="7" t="inlineStr">
        <is>
          <t>NTAP/TXT</t>
        </is>
      </c>
      <c r="C7" s="7" t="inlineStr">
        <is>
          <t>TXT</t>
        </is>
      </c>
      <c r="D7" s="7" t="inlineStr">
        <is>
          <t>short</t>
        </is>
      </c>
      <c r="E7" s="24" t="n">
        <v>-660</v>
      </c>
      <c r="F7" s="11" t="n">
        <v>88.20999999999999</v>
      </c>
      <c r="G7" s="19" t="n">
        <v>-58218.6</v>
      </c>
      <c r="H7" s="7" t="inlineStr">
        <is>
          <t>industrial</t>
        </is>
      </c>
      <c r="I7" s="7" t="n">
        <v>4</v>
      </c>
      <c r="J7" s="7" t="inlineStr">
        <is>
          <t>no_skip_month</t>
        </is>
      </c>
    </row>
    <row r="8">
      <c r="A8" s="12" t="inlineStr">
        <is>
          <t>MTFS</t>
        </is>
      </c>
      <c r="B8" s="17" t="inlineStr">
        <is>
          <t>CRL/MLM</t>
        </is>
      </c>
      <c r="C8" s="17" t="inlineStr">
        <is>
          <t>CRL</t>
        </is>
      </c>
      <c r="D8" s="17" t="inlineStr">
        <is>
          <t>long</t>
        </is>
      </c>
      <c r="E8" s="26" t="n">
        <v>448</v>
      </c>
      <c r="F8" s="13" t="n">
        <v>282</v>
      </c>
      <c r="G8" s="13" t="n">
        <v>126336</v>
      </c>
      <c r="H8" s="17" t="inlineStr">
        <is>
          <t>health</t>
        </is>
      </c>
      <c r="I8" s="17" t="n">
        <v>4</v>
      </c>
      <c r="J8" s="17" t="inlineStr">
        <is>
          <t>slow_rebalance</t>
        </is>
      </c>
    </row>
    <row r="9">
      <c r="A9" s="10" t="inlineStr">
        <is>
          <t>MTFS</t>
        </is>
      </c>
      <c r="B9" s="7" t="inlineStr">
        <is>
          <t>CRL/MLM</t>
        </is>
      </c>
      <c r="C9" s="7" t="inlineStr">
        <is>
          <t>MLM</t>
        </is>
      </c>
      <c r="D9" s="7" t="inlineStr">
        <is>
          <t>short</t>
        </is>
      </c>
      <c r="E9" s="24" t="n">
        <v>-105</v>
      </c>
      <c r="F9" s="4" t="n">
        <v>553.67</v>
      </c>
      <c r="G9" s="19" t="n">
        <v>-58135.35</v>
      </c>
      <c r="H9" s="7" t="inlineStr">
        <is>
          <t>materials</t>
        </is>
      </c>
      <c r="I9" s="7" t="n">
        <v>4</v>
      </c>
      <c r="J9" s="7" t="inlineStr">
        <is>
          <t>slow_rebalance</t>
        </is>
      </c>
    </row>
    <row r="10">
      <c r="A10" s="12" t="inlineStr">
        <is>
          <t>MTFS</t>
        </is>
      </c>
      <c r="B10" s="17" t="inlineStr">
        <is>
          <t>HPE/LKQ</t>
        </is>
      </c>
      <c r="C10" s="17" t="inlineStr">
        <is>
          <t>HPE</t>
        </is>
      </c>
      <c r="D10" s="17" t="inlineStr">
        <is>
          <t>long</t>
        </is>
      </c>
      <c r="E10" s="26" t="n">
        <v>1915</v>
      </c>
      <c r="F10" s="15" t="n">
        <v>54.38</v>
      </c>
      <c r="G10" s="13" t="n">
        <v>104137.7</v>
      </c>
      <c r="H10" s="17" t="inlineStr">
        <is>
          <t>tech</t>
        </is>
      </c>
      <c r="I10" s="17" t="n">
        <v>2</v>
      </c>
      <c r="J10" s="17" t="inlineStr">
        <is>
          <t>long_term_kalman</t>
        </is>
      </c>
    </row>
    <row r="11">
      <c r="A11" s="10" t="inlineStr">
        <is>
          <t>MTFS</t>
        </is>
      </c>
      <c r="B11" s="7" t="inlineStr">
        <is>
          <t>HPE/LKQ</t>
        </is>
      </c>
      <c r="C11" s="7" t="inlineStr">
        <is>
          <t>LKQ</t>
        </is>
      </c>
      <c r="D11" s="7" t="inlineStr">
        <is>
          <t>short</t>
        </is>
      </c>
      <c r="E11" s="24" t="n">
        <v>-1827</v>
      </c>
      <c r="F11" s="11" t="n">
        <v>24.7</v>
      </c>
      <c r="G11" s="19" t="n">
        <v>-45126.9</v>
      </c>
      <c r="H11" s="7" t="inlineStr">
        <is>
          <t>other</t>
        </is>
      </c>
      <c r="I11" s="7" t="n">
        <v>2</v>
      </c>
      <c r="J11" s="7" t="inlineStr">
        <is>
          <t>long_term_kalman</t>
        </is>
      </c>
    </row>
    <row r="12">
      <c r="A12" s="12" t="inlineStr">
        <is>
          <t>MTFS</t>
        </is>
      </c>
      <c r="B12" s="17" t="inlineStr">
        <is>
          <t>PANW/DECK</t>
        </is>
      </c>
      <c r="C12" s="17" t="inlineStr">
        <is>
          <t>PANW</t>
        </is>
      </c>
      <c r="D12" s="17" t="inlineStr">
        <is>
          <t>long</t>
        </is>
      </c>
      <c r="E12" s="26" t="n">
        <v>269</v>
      </c>
      <c r="F12" s="13" t="n">
        <v>383.8</v>
      </c>
      <c r="G12" s="13" t="n">
        <v>103242.2</v>
      </c>
      <c r="H12" s="17" t="inlineStr">
        <is>
          <t>tech</t>
        </is>
      </c>
      <c r="I12" s="17" t="n">
        <v>2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PANW/DECK</t>
        </is>
      </c>
      <c r="C13" s="7" t="inlineStr">
        <is>
          <t>DECK</t>
        </is>
      </c>
      <c r="D13" s="7" t="inlineStr">
        <is>
          <t>short</t>
        </is>
      </c>
      <c r="E13" s="24" t="n">
        <v>-504</v>
      </c>
      <c r="F13" s="11" t="n">
        <v>93.84</v>
      </c>
      <c r="G13" s="19" t="n">
        <v>-47295.36</v>
      </c>
      <c r="H13" s="7" t="inlineStr">
        <is>
          <t>food</t>
        </is>
      </c>
      <c r="I13" s="7" t="n">
        <v>2</v>
      </c>
      <c r="J13" s="7" t="inlineStr">
        <is>
          <t>monthly_aligned_windows</t>
        </is>
      </c>
    </row>
    <row r="14">
      <c r="A14" s="12" t="inlineStr">
        <is>
          <t>MTFS</t>
        </is>
      </c>
      <c r="B14" s="17" t="inlineStr">
        <is>
          <t>MU/SRE</t>
        </is>
      </c>
      <c r="C14" s="17" t="inlineStr">
        <is>
          <t>MU</t>
        </is>
      </c>
      <c r="D14" s="17" t="inlineStr">
        <is>
          <t>long</t>
        </is>
      </c>
      <c r="E14" s="26" t="n">
        <v>345</v>
      </c>
      <c r="F14" s="13" t="n">
        <v>868.52</v>
      </c>
      <c r="G14" s="13" t="n">
        <v>299639.4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MU/SRE</t>
        </is>
      </c>
      <c r="C15" s="7" t="inlineStr">
        <is>
          <t>SRE</t>
        </is>
      </c>
      <c r="D15" s="7" t="inlineStr">
        <is>
          <t>short</t>
        </is>
      </c>
      <c r="E15" s="24" t="n">
        <v>-877</v>
      </c>
      <c r="F15" s="11" t="n">
        <v>85.48</v>
      </c>
      <c r="G15" s="19" t="n">
        <v>-74965.96000000001</v>
      </c>
      <c r="H15" s="7" t="inlineStr">
        <is>
          <t>utilities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MU/TXT</t>
        </is>
      </c>
      <c r="C16" s="17" t="inlineStr">
        <is>
          <t>MU</t>
        </is>
      </c>
      <c r="D16" s="17" t="inlineStr">
        <is>
          <t>long</t>
        </is>
      </c>
      <c r="E16" s="26" t="n">
        <v>345</v>
      </c>
      <c r="F16" s="13" t="n">
        <v>868.52</v>
      </c>
      <c r="G16" s="13" t="n">
        <v>299639.4</v>
      </c>
      <c r="H16" s="17" t="inlineStr">
        <is>
          <t>tech</t>
        </is>
      </c>
      <c r="I16" s="17" t="n">
        <v>0</v>
      </c>
      <c r="J16" s="17" t="inlineStr">
        <is>
          <t>monthly_aligned_windows</t>
        </is>
      </c>
    </row>
    <row r="17">
      <c r="A17" s="10" t="inlineStr">
        <is>
          <t>MTFS</t>
        </is>
      </c>
      <c r="B17" s="7" t="inlineStr">
        <is>
          <t>MU/TXT</t>
        </is>
      </c>
      <c r="C17" s="7" t="inlineStr">
        <is>
          <t>TXT</t>
        </is>
      </c>
      <c r="D17" s="7" t="inlineStr">
        <is>
          <t>short</t>
        </is>
      </c>
      <c r="E17" s="24" t="n">
        <v>-851</v>
      </c>
      <c r="F17" s="11" t="n">
        <v>88.20999999999999</v>
      </c>
      <c r="G17" s="19" t="n">
        <v>-75066.71000000001</v>
      </c>
      <c r="H17" s="7" t="inlineStr">
        <is>
          <t>industrial</t>
        </is>
      </c>
      <c r="I17" s="7" t="n">
        <v>0</v>
      </c>
      <c r="J17" s="7" t="inlineStr">
        <is>
          <t>monthly_aligned_windows</t>
        </is>
      </c>
    </row>
    <row r="18">
      <c r="A18" s="12" t="inlineStr">
        <is>
          <t>MTFS</t>
        </is>
      </c>
      <c r="B18" s="17" t="inlineStr">
        <is>
          <t>CRL/TMUS</t>
        </is>
      </c>
      <c r="C18" s="17" t="inlineStr">
        <is>
          <t>CRL</t>
        </is>
      </c>
      <c r="D18" s="17" t="inlineStr">
        <is>
          <t>long</t>
        </is>
      </c>
      <c r="E18" s="26" t="n">
        <v>532</v>
      </c>
      <c r="F18" s="13" t="n">
        <v>282</v>
      </c>
      <c r="G18" s="13" t="n">
        <v>150024</v>
      </c>
      <c r="H18" s="17" t="inlineStr">
        <is>
          <t>health</t>
        </is>
      </c>
      <c r="I18" s="17" t="n">
        <v>0</v>
      </c>
      <c r="J18" s="17" t="inlineStr">
        <is>
          <t>weekly_aligned_windows</t>
        </is>
      </c>
    </row>
    <row r="19">
      <c r="A19" s="10" t="inlineStr">
        <is>
          <t>MTFS</t>
        </is>
      </c>
      <c r="B19" s="7" t="inlineStr">
        <is>
          <t>CRL/TMUS</t>
        </is>
      </c>
      <c r="C19" s="7" t="inlineStr">
        <is>
          <t>TMUS</t>
        </is>
      </c>
      <c r="D19" s="7" t="inlineStr">
        <is>
          <t>short</t>
        </is>
      </c>
      <c r="E19" s="24" t="n">
        <v>-420</v>
      </c>
      <c r="F19" s="4" t="n">
        <v>178.58</v>
      </c>
      <c r="G19" s="19" t="n">
        <v>-75003.60000000001</v>
      </c>
      <c r="H19" s="7" t="inlineStr">
        <is>
          <t>telecom</t>
        </is>
      </c>
      <c r="I19" s="7" t="n">
        <v>0</v>
      </c>
      <c r="J19" s="7" t="inlineStr">
        <is>
          <t>weekly_aligned_windows</t>
        </is>
      </c>
    </row>
    <row r="20">
      <c r="A20" s="12" t="inlineStr">
        <is>
          <t>MTFS</t>
        </is>
      </c>
      <c r="B20" s="17" t="inlineStr">
        <is>
          <t>NTAP/MAR</t>
        </is>
      </c>
      <c r="C20" s="17" t="inlineStr">
        <is>
          <t>NTAP</t>
        </is>
      </c>
      <c r="D20" s="17" t="inlineStr">
        <is>
          <t>long</t>
        </is>
      </c>
      <c r="E20" s="26" t="n">
        <v>756</v>
      </c>
      <c r="F20" s="13" t="n">
        <v>198.47</v>
      </c>
      <c r="G20" s="13" t="n">
        <v>150043.32</v>
      </c>
      <c r="H20" s="17" t="inlineStr">
        <is>
          <t>tech</t>
        </is>
      </c>
      <c r="I20" s="17" t="n">
        <v>0</v>
      </c>
      <c r="J20" s="17" t="inlineStr">
        <is>
          <t>crash_shortguard</t>
        </is>
      </c>
    </row>
    <row r="21">
      <c r="A21" s="10" t="inlineStr">
        <is>
          <t>MTFS</t>
        </is>
      </c>
      <c r="B21" s="7" t="inlineStr">
        <is>
          <t>NTAP/MAR</t>
        </is>
      </c>
      <c r="C21" s="7" t="inlineStr">
        <is>
          <t>MAR</t>
        </is>
      </c>
      <c r="D21" s="7" t="inlineStr">
        <is>
          <t>short</t>
        </is>
      </c>
      <c r="E21" s="24" t="n">
        <v>-214</v>
      </c>
      <c r="F21" s="4" t="n">
        <v>349.49</v>
      </c>
      <c r="G21" s="19" t="n">
        <v>-74790.86</v>
      </c>
      <c r="H21" s="7" t="inlineStr">
        <is>
          <t>food</t>
        </is>
      </c>
      <c r="I21" s="7" t="n">
        <v>0</v>
      </c>
      <c r="J21" s="7" t="inlineStr">
        <is>
          <t>crash_shortguard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DGX/NKE</t>
        </is>
      </c>
      <c r="C4" s="13" t="n">
        <v>4267.46</v>
      </c>
      <c r="D4" s="13" t="n">
        <v>299677.68</v>
      </c>
      <c r="E4" s="17" t="n">
        <v>7</v>
      </c>
      <c r="F4" s="17" t="inlineStr">
        <is>
          <t>entry_threshold_strong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NTAP/TXT</t>
        </is>
      </c>
      <c r="C5" s="4" t="n">
        <v>7583.75</v>
      </c>
      <c r="D5" s="4" t="n">
        <v>182262.35</v>
      </c>
      <c r="E5" s="7" t="n">
        <v>4</v>
      </c>
      <c r="F5" s="7" t="inlineStr">
        <is>
          <t>no_skip_month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CRL/MLM</t>
        </is>
      </c>
      <c r="C6" s="13" t="n">
        <v>9501.940000000001</v>
      </c>
      <c r="D6" s="13" t="n">
        <v>184471.35</v>
      </c>
      <c r="E6" s="17" t="n">
        <v>4</v>
      </c>
      <c r="F6" s="17" t="inlineStr">
        <is>
          <t>slow_rebalance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HPE/LKQ</t>
        </is>
      </c>
      <c r="C7" s="4" t="n">
        <v>2513.72</v>
      </c>
      <c r="D7" s="4" t="n">
        <v>149264.6</v>
      </c>
      <c r="E7" s="7" t="n">
        <v>2</v>
      </c>
      <c r="F7" s="7" t="inlineStr">
        <is>
          <t>long_term_kalman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PANW/DECK</t>
        </is>
      </c>
      <c r="C8" s="13" t="n">
        <v>7188.34</v>
      </c>
      <c r="D8" s="13" t="n">
        <v>150537.56</v>
      </c>
      <c r="E8" s="17" t="n">
        <v>2</v>
      </c>
      <c r="F8" s="17" t="inlineStr">
        <is>
          <t>monthly_aligned_windows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MU/SRE</t>
        </is>
      </c>
      <c r="C9" s="11" t="n">
        <v>0</v>
      </c>
      <c r="D9" s="4" t="n">
        <v>374605.36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MU/TXT</t>
        </is>
      </c>
      <c r="C10" s="15" t="n">
        <v>0</v>
      </c>
      <c r="D10" s="13" t="n">
        <v>374706.11</v>
      </c>
      <c r="E10" s="17" t="n">
        <v>0</v>
      </c>
      <c r="F10" s="17" t="inlineStr">
        <is>
          <t>monthly_aligned_windows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CRL/TMUS</t>
        </is>
      </c>
      <c r="C11" s="11" t="n">
        <v>0</v>
      </c>
      <c r="D11" s="4" t="n">
        <v>225027.6</v>
      </c>
      <c r="E11" s="7" t="n">
        <v>0</v>
      </c>
      <c r="F11" s="7" t="inlineStr">
        <is>
          <t>weekly_aligned_windows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NTAP/MAR</t>
        </is>
      </c>
      <c r="C12" s="15" t="n">
        <v>0</v>
      </c>
      <c r="D12" s="13" t="n">
        <v>224834.18</v>
      </c>
      <c r="E12" s="17" t="n">
        <v>0</v>
      </c>
      <c r="F12" s="17" t="inlineStr">
        <is>
          <t>crash_shortguard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2026-08-11</t>
        </is>
      </c>
      <c r="C4" s="7" t="inlineStr">
        <is>
          <t>2026-08-11</t>
        </is>
      </c>
    </row>
    <row r="5">
      <c r="A5" s="12" t="inlineStr">
        <is>
          <t>T_1D</t>
        </is>
      </c>
      <c r="B5" s="17" t="inlineStr">
        <is>
          <t>2026-08-10</t>
        </is>
      </c>
      <c r="C5" s="17" t="inlineStr">
        <is>
          <t>2026-08-10</t>
        </is>
      </c>
    </row>
    <row r="6">
      <c r="A6" s="10" t="inlineStr">
        <is>
          <t>T_1W</t>
        </is>
      </c>
      <c r="B6" s="7" t="inlineStr">
        <is>
          <t>2026-08-04</t>
        </is>
      </c>
      <c r="C6" s="7" t="inlineStr">
        <is>
          <t>2026-08-04</t>
        </is>
      </c>
    </row>
    <row r="7">
      <c r="A7" s="12" t="inlineStr">
        <is>
          <t>T_1M</t>
        </is>
      </c>
      <c r="B7" s="17" t="inlineStr">
        <is>
          <t>2026-07-13</t>
        </is>
      </c>
      <c r="C7" s="17" t="inlineStr">
        <is>
          <t>2026-07-13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12.86</v>
      </c>
      <c r="C6" s="7" t="n">
        <v>-0.08</v>
      </c>
      <c r="D6" s="7" t="n">
        <v>25</v>
      </c>
      <c r="E6" s="23" t="n">
        <v>-12.94</v>
      </c>
    </row>
    <row r="7">
      <c r="A7" s="12" t="inlineStr">
        <is>
          <t>MTFS</t>
        </is>
      </c>
      <c r="B7" s="17" t="n">
        <v>6.59</v>
      </c>
      <c r="C7" s="17" t="n">
        <v>13.1</v>
      </c>
      <c r="D7" s="17" t="n">
        <v>25</v>
      </c>
      <c r="E7" s="20" t="n">
        <v>6.51</v>
      </c>
    </row>
    <row r="8">
      <c r="A8" s="10" t="inlineStr">
        <is>
          <t>SSRS</t>
        </is>
      </c>
      <c r="B8" s="7" t="n">
        <v>21.43</v>
      </c>
      <c r="C8" s="7" t="n">
        <v>2.24</v>
      </c>
      <c r="D8" s="7" t="n">
        <v>25</v>
      </c>
      <c r="E8" s="23" t="n">
        <v>-19.18</v>
      </c>
    </row>
    <row r="9">
      <c r="A9" s="12" t="inlineStr">
        <is>
          <t>AISS</t>
        </is>
      </c>
      <c r="B9" s="17" t="n">
        <v>59.13</v>
      </c>
      <c r="C9" s="17" t="n">
        <v>84.73999999999999</v>
      </c>
      <c r="D9" s="17" t="n">
        <v>25</v>
      </c>
      <c r="E9" s="20" t="n">
        <v>25.61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MU/SRE</t>
        </is>
      </c>
      <c r="B13" s="7" t="n">
        <v>40.96</v>
      </c>
    </row>
    <row r="14">
      <c r="A14" s="12" t="inlineStr">
        <is>
          <t>MU/TXT</t>
        </is>
      </c>
      <c r="B14" s="17" t="n">
        <v>40.33</v>
      </c>
    </row>
    <row r="15">
      <c r="A15" s="10" t="inlineStr">
        <is>
          <t>HPE/LKQ</t>
        </is>
      </c>
      <c r="B15" s="7" t="n">
        <v>4.87</v>
      </c>
    </row>
    <row r="16">
      <c r="A16" s="12" t="inlineStr">
        <is>
          <t>NTAP/MAR</t>
        </is>
      </c>
      <c r="B16" s="17" t="n">
        <v>4.48</v>
      </c>
    </row>
    <row r="17">
      <c r="A17" s="10" t="inlineStr">
        <is>
          <t>NTAP/TXT</t>
        </is>
      </c>
      <c r="B17" s="7" t="n">
        <v>2.91</v>
      </c>
    </row>
    <row r="18">
      <c r="A18" s="12" t="inlineStr">
        <is>
          <t>CRL/TMUS</t>
        </is>
      </c>
      <c r="B18" s="17" t="n">
        <v>2.66</v>
      </c>
    </row>
    <row r="19">
      <c r="A19" s="10" t="inlineStr">
        <is>
          <t>PANW/DECK</t>
        </is>
      </c>
      <c r="B19" s="7" t="n">
        <v>2.08</v>
      </c>
    </row>
    <row r="20">
      <c r="A20" s="12" t="inlineStr">
        <is>
          <t>CRL/MLM</t>
        </is>
      </c>
      <c r="B20" s="17" t="n">
        <v>0.99</v>
      </c>
    </row>
    <row r="21">
      <c r="A21" s="10" t="inlineStr">
        <is>
          <t>DGX/NKE</t>
        </is>
      </c>
      <c r="B21" s="7" t="n">
        <v>0.72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0" t="n">
        <v>33.01</v>
      </c>
      <c r="C6" s="17" t="n">
        <v>1.91</v>
      </c>
      <c r="D6" s="17" t="n">
        <v>0.055</v>
      </c>
      <c r="E6" s="17" t="n">
        <v>157</v>
      </c>
      <c r="F6" s="17" t="inlineStr">
        <is>
          <t>0.077 (t=0.75)</t>
        </is>
      </c>
      <c r="G6" s="17" t="inlineStr">
        <is>
          <t>-0.032 (t=-0.24)</t>
        </is>
      </c>
      <c r="H6" s="17" t="inlineStr">
        <is>
          <t>-0.041 (t=-0.29)</t>
        </is>
      </c>
      <c r="I6" s="17" t="inlineStr">
        <is>
          <t>0.084 (t=0.73)</t>
        </is>
      </c>
      <c r="J6" s="17" t="inlineStr">
        <is>
          <t>-0.083 (t=-0.41)</t>
        </is>
      </c>
      <c r="K6" s="17" t="inlineStr">
        <is>
          <t>-0.147 (t=-2.13)</t>
        </is>
      </c>
    </row>
    <row r="7">
      <c r="A7" s="10" t="inlineStr">
        <is>
          <t>MTFS</t>
        </is>
      </c>
      <c r="B7" s="23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-0.368</v>
      </c>
      <c r="C4" s="7" t="n">
        <v>12.253</v>
      </c>
      <c r="D4" s="7" t="n">
        <v>0</v>
      </c>
      <c r="E4" s="7" t="b">
        <v>1</v>
      </c>
      <c r="F4" s="7" t="n">
        <v>2.608</v>
      </c>
      <c r="G4" s="7" t="n">
        <v>2.608</v>
      </c>
      <c r="H4" s="7" t="n">
        <v>0</v>
      </c>
    </row>
    <row r="5">
      <c r="A5" s="12" t="inlineStr">
        <is>
          <t>MRPT</t>
        </is>
      </c>
      <c r="B5" s="17" t="n">
        <v>-0.227</v>
      </c>
      <c r="C5" s="17" t="n">
        <v>3.557</v>
      </c>
      <c r="D5" s="17" t="n">
        <v>0</v>
      </c>
      <c r="E5" s="17" t="b">
        <v>1</v>
      </c>
      <c r="F5" s="17" t="n">
        <v>1.193</v>
      </c>
      <c r="G5" s="17" t="n">
        <v>1.193</v>
      </c>
      <c r="H5" s="17" t="n">
        <v>0</v>
      </c>
    </row>
    <row r="6">
      <c r="A6" s="10" t="inlineStr">
        <is>
          <t>MTFS</t>
        </is>
      </c>
      <c r="B6" s="7" t="n">
        <v>0.302</v>
      </c>
      <c r="C6" s="7" t="n">
        <v>12.269</v>
      </c>
      <c r="D6" s="7" t="n">
        <v>0</v>
      </c>
      <c r="E6" s="7" t="b">
        <v>1</v>
      </c>
      <c r="F6" s="7" t="n">
        <v>5.92</v>
      </c>
      <c r="G6" s="7" t="n">
        <v>5.92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0.197</v>
      </c>
      <c r="C9" s="7" t="n">
        <v>0.5685</v>
      </c>
      <c r="D9" s="7" t="n">
        <v>17635</v>
      </c>
      <c r="E9" s="7" t="n">
        <v>23.75</v>
      </c>
      <c r="F9" s="7" t="n">
        <v>26.43</v>
      </c>
      <c r="G9" s="7" t="n">
        <v>79.09999999999999</v>
      </c>
      <c r="H9" s="7" t="n">
        <v>-0</v>
      </c>
      <c r="I9" s="7" t="n">
        <v>-0</v>
      </c>
      <c r="J9" s="7" t="n">
        <v>2.318</v>
      </c>
    </row>
    <row r="10">
      <c r="A10" s="12" t="inlineStr">
        <is>
          <t>MRPT</t>
        </is>
      </c>
      <c r="B10" s="17" t="n">
        <v>2.06</v>
      </c>
      <c r="C10" s="17" t="n">
        <v>0.9609</v>
      </c>
      <c r="D10" s="17" t="n">
        <v>170</v>
      </c>
      <c r="E10" s="17" t="n">
        <v>4.89</v>
      </c>
      <c r="F10" s="17" t="n">
        <v>5.48</v>
      </c>
      <c r="G10" s="17" t="n">
        <v>80.09999999999999</v>
      </c>
      <c r="H10" s="17" t="n">
        <v>13.28</v>
      </c>
      <c r="I10" s="17" t="n">
        <v>6.64</v>
      </c>
      <c r="J10" s="17" t="n">
        <v>0</v>
      </c>
    </row>
    <row r="11">
      <c r="A11" s="10" t="inlineStr">
        <is>
          <t>MTFS</t>
        </is>
      </c>
      <c r="B11" s="7" t="n">
        <v>-0.323</v>
      </c>
      <c r="C11" s="7" t="n">
        <v>0.3888</v>
      </c>
      <c r="D11" s="7" t="n">
        <v>6581</v>
      </c>
      <c r="E11" s="7" t="n">
        <v>47.9</v>
      </c>
      <c r="F11" s="7" t="n">
        <v>53.53</v>
      </c>
      <c r="G11" s="7" t="n">
        <v>84.7</v>
      </c>
      <c r="H11" s="7" t="n">
        <v>-0.73</v>
      </c>
      <c r="I11" s="7" t="n">
        <v>-0.36</v>
      </c>
      <c r="J11" s="7" t="n">
        <v>6.843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2026-08-12T14:11:06Z</dcterms:created>
  <dcterms:modified xmlns:dcterms="http://purl.org/dc/terms/" xmlns:xsi="http://www.w3.org/2001/XMLSchema-instance" xsi:type="dcterms:W3CDTF">2026-08-12T14:11:06Z</dcterms:modified>
</cp:coreProperties>
</file>