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165" fontId="8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Trend'!$A$4:$A$168</f>
            </numRef>
          </cat>
          <val>
            <numRef>
              <f>'NAV Trend'!$B$4:$B$168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2026-06-29  ·  Generated 2026-06-30T04:54:39  ·  Scope: MRPT+MTFS pairs book (model-based, broker-reconciled)</t>
        </is>
      </c>
    </row>
    <row r="4">
      <c r="A4" s="3" t="inlineStr">
        <is>
          <t>NAV (equity)</t>
        </is>
      </c>
      <c r="B4" s="4" t="n">
        <v>1204391.54</v>
      </c>
    </row>
    <row r="5">
      <c r="A5" s="3" t="inlineStr">
        <is>
          <t>Gross leverage (x)</t>
        </is>
      </c>
      <c r="B5" s="5" t="n">
        <v>1.151</v>
      </c>
    </row>
    <row r="6">
      <c r="A6" s="3" t="inlineStr">
        <is>
          <t>Net leverage (x)</t>
        </is>
      </c>
      <c r="B6" s="6" t="n">
        <v>0.338</v>
      </c>
    </row>
    <row r="7">
      <c r="A7" s="3" t="inlineStr">
        <is>
          <t>Net market beta (target≈0)</t>
        </is>
      </c>
      <c r="B7" s="5" t="n">
        <v>1.765</v>
      </c>
    </row>
    <row r="8">
      <c r="A8" s="3" t="inlineStr">
        <is>
          <t>VaR 95% 1-day ($)</t>
        </is>
      </c>
      <c r="B8" s="4" t="n">
        <v>43452.04</v>
      </c>
    </row>
    <row r="9">
      <c r="A9" s="3" t="inlineStr">
        <is>
          <t>VaR 95% 1-day (% NAV)</t>
        </is>
      </c>
      <c r="B9" s="5" t="n">
        <v>3.61</v>
      </c>
    </row>
    <row r="10">
      <c r="A10" s="3" t="inlineStr">
        <is>
          <t>Annual vol (% NAV)</t>
        </is>
      </c>
      <c r="B10" s="5" t="n">
        <v>34.82</v>
      </c>
    </row>
    <row r="11">
      <c r="A11" s="3" t="inlineStr">
        <is>
          <t>Sharpe (annual)</t>
        </is>
      </c>
      <c r="B11" s="5" t="n">
        <v>1.659</v>
      </c>
    </row>
    <row r="12">
      <c r="A12" s="3" t="inlineStr">
        <is>
          <t>PSR( SR&gt;0 )</t>
        </is>
      </c>
      <c r="B12" s="6" t="n">
        <v>0.9135</v>
      </c>
    </row>
    <row r="13">
      <c r="A13" s="3" t="inlineStr">
        <is>
          <t>CDaR 95% (%)</t>
        </is>
      </c>
      <c r="B13" s="5" t="n">
        <v>8.710000000000001</v>
      </c>
    </row>
    <row r="14">
      <c r="A14" s="3" t="inlineStr">
        <is>
          <t>Kelly full / half (x)</t>
        </is>
      </c>
      <c r="B14" s="7" t="inlineStr">
        <is>
          <t>5.46 / 2.73</t>
        </is>
      </c>
    </row>
    <row r="15">
      <c r="A15" s="3" t="inlineStr">
        <is>
          <t>Actual gross leverage (x)</t>
        </is>
      </c>
      <c r="B15" s="5" t="n">
        <v>1.151</v>
      </c>
    </row>
    <row r="16">
      <c r="A16" s="3" t="inlineStr">
        <is>
          <t>Max single-name</t>
        </is>
      </c>
      <c r="B16" s="7" t="inlineStr">
        <is>
          <t>GLW (27.0% NAV)</t>
        </is>
      </c>
    </row>
    <row r="17">
      <c r="A17" s="3" t="inlineStr">
        <is>
          <t>Max sector net (% gross)</t>
        </is>
      </c>
      <c r="B17" s="5" t="n">
        <v>18.08</v>
      </c>
    </row>
    <row r="18">
      <c r="A18" s="3" t="inlineStr">
        <is>
          <t>Open pairs</t>
        </is>
      </c>
      <c r="B18" s="5" t="n">
        <v>7</v>
      </c>
    </row>
    <row r="19">
      <c r="A19" s="3" t="inlineStr">
        <is>
          <t>Limit breaches</t>
        </is>
      </c>
      <c r="B19" s="5" t="n">
        <v>6</v>
      </c>
    </row>
    <row r="20">
      <c r="A20" s="3" t="inlineStr">
        <is>
          <t>Worst breach</t>
        </is>
      </c>
      <c r="B20" s="7" t="inlineStr">
        <is>
          <t>single_name_gross:GLW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297742.94</v>
      </c>
      <c r="C5" s="4" t="n">
        <v>47050.81</v>
      </c>
      <c r="D5" s="4" t="n">
        <v>787849.64</v>
      </c>
      <c r="E5" s="11" t="n">
        <v>0</v>
      </c>
    </row>
    <row r="6">
      <c r="A6" s="12" t="inlineStr">
        <is>
          <t>Restricted Cash 受限现金 (PB 102%)</t>
        </is>
      </c>
      <c r="B6" s="13" t="n">
        <v>499751.23</v>
      </c>
      <c r="C6" s="13" t="n">
        <v>692204.8</v>
      </c>
      <c r="D6" s="13" t="n">
        <v>176311.36</v>
      </c>
      <c r="E6" s="13" t="n">
        <v>968118.55</v>
      </c>
    </row>
    <row r="7">
      <c r="A7" s="10" t="inlineStr">
        <is>
          <t>Long Securities 多头证券</t>
        </is>
      </c>
      <c r="B7" s="4" t="n">
        <v>896849.5600000001</v>
      </c>
      <c r="C7" s="4" t="n">
        <v>1077935.03</v>
      </c>
      <c r="D7" s="4" t="n">
        <v>369900.54</v>
      </c>
      <c r="E7" s="4" t="n">
        <v>1534315.52</v>
      </c>
    </row>
    <row r="8">
      <c r="A8" s="14" t="inlineStr">
        <is>
          <t>Total Assets 总资产</t>
        </is>
      </c>
      <c r="B8" s="13" t="n">
        <v>1694343.73</v>
      </c>
      <c r="C8" s="13" t="n">
        <v>1817190.64</v>
      </c>
      <c r="D8" s="13" t="n">
        <v>1334061.54</v>
      </c>
      <c r="E8" s="13" t="n">
        <v>2502434.06</v>
      </c>
    </row>
    <row r="9">
      <c r="A9" s="10" t="inlineStr">
        <is>
          <t>Short Securities 空头证券 (义务)</t>
        </is>
      </c>
      <c r="B9" s="4" t="n">
        <v>489952.19</v>
      </c>
      <c r="C9" s="4" t="n">
        <v>678632.16</v>
      </c>
      <c r="D9" s="4" t="n">
        <v>172854.27</v>
      </c>
      <c r="E9" s="4" t="n">
        <v>949135.83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5" t="n">
        <v>0</v>
      </c>
      <c r="E10" s="13" t="n">
        <v>564635.84</v>
      </c>
    </row>
    <row r="11">
      <c r="A11" s="16" t="inlineStr">
        <is>
          <t>Total Liabilities 总负债</t>
        </is>
      </c>
      <c r="B11" s="4" t="n">
        <v>489952.19</v>
      </c>
      <c r="C11" s="4" t="n">
        <v>678632.16</v>
      </c>
      <c r="D11" s="4" t="n">
        <v>172854.27</v>
      </c>
      <c r="E11" s="4" t="n">
        <v>1513771.67</v>
      </c>
    </row>
    <row r="12">
      <c r="A12" s="14" t="inlineStr">
        <is>
          <t>NAV (Equity) 净值 = TA - TL</t>
        </is>
      </c>
      <c r="B12" s="13" t="n">
        <v>1204391.54</v>
      </c>
      <c r="C12" s="13" t="n">
        <v>1138558.48</v>
      </c>
      <c r="D12" s="13" t="n">
        <v>1161207.27</v>
      </c>
      <c r="E12" s="13" t="n">
        <v>988662.39</v>
      </c>
    </row>
    <row r="13">
      <c r="A13" s="10" t="inlineStr">
        <is>
          <t>Gross Leverage 总杠杆 (x)</t>
        </is>
      </c>
      <c r="B13" s="7" t="n">
        <v>1.151</v>
      </c>
      <c r="C13" s="7" t="n">
        <v>1.543</v>
      </c>
      <c r="D13" s="7" t="n">
        <v>0.467</v>
      </c>
      <c r="E13" s="7" t="n">
        <v>2.512</v>
      </c>
    </row>
    <row r="14">
      <c r="A14" s="12" t="inlineStr">
        <is>
          <t>Net Leverage 净杠杆 (x)</t>
        </is>
      </c>
      <c r="B14" s="17" t="n">
        <v>0.338</v>
      </c>
      <c r="C14" s="17" t="n">
        <v>0.351</v>
      </c>
      <c r="D14" s="17" t="n">
        <v>0.17</v>
      </c>
      <c r="E14" s="17" t="n">
        <v>0.592</v>
      </c>
    </row>
    <row r="15">
      <c r="A15" s="10" t="inlineStr">
        <is>
          <t>PM Requirement (20%)</t>
        </is>
      </c>
      <c r="B15" s="4" t="n">
        <v>277360.35</v>
      </c>
      <c r="C15" s="4" t="n">
        <v>351313.44</v>
      </c>
      <c r="D15" s="4" t="n">
        <v>108550.96</v>
      </c>
      <c r="E15" s="4" t="n">
        <v>496690.27</v>
      </c>
    </row>
    <row r="16">
      <c r="A16" s="12" t="inlineStr">
        <is>
          <t>Excess Liquidity 超额流动性</t>
        </is>
      </c>
      <c r="B16" s="13" t="n">
        <v>927031.1899999999</v>
      </c>
      <c r="C16" s="13" t="n">
        <v>787245.04</v>
      </c>
      <c r="D16" s="13" t="n">
        <v>1052656.31</v>
      </c>
      <c r="E16" s="13" t="n">
        <v>491972.12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-0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896849.5600000001</v>
      </c>
      <c r="C21" s="4" t="n">
        <v>1077935.03</v>
      </c>
      <c r="D21" s="4" t="n">
        <v>369900.54</v>
      </c>
      <c r="E21" s="4" t="n">
        <v>988662.39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896849.5600000001</v>
      </c>
      <c r="C23" s="4" t="n">
        <v>1077935.03</v>
      </c>
      <c r="D23" s="4" t="n">
        <v>369900.54</v>
      </c>
      <c r="E23" s="4" t="n">
        <v>1534315.52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5" t="n">
        <v>0</v>
      </c>
      <c r="E24" s="13" t="n">
        <v>545653.13</v>
      </c>
    </row>
    <row r="25">
      <c r="A25" s="16" t="inlineStr">
        <is>
          <t>Long Book — NAV</t>
        </is>
      </c>
      <c r="B25" s="4" t="n">
        <v>896849.5600000001</v>
      </c>
      <c r="C25" s="4" t="n">
        <v>1077935.03</v>
      </c>
      <c r="D25" s="4" t="n">
        <v>369900.54</v>
      </c>
      <c r="E25" s="4" t="n">
        <v>988662.39</v>
      </c>
    </row>
    <row r="26">
      <c r="A26" s="12" t="inlineStr">
        <is>
          <t>Short Book — Allocated Capital 分配资本</t>
        </is>
      </c>
      <c r="B26" s="13" t="n">
        <v>9799.040000000001</v>
      </c>
      <c r="C26" s="13" t="n">
        <v>13572.64</v>
      </c>
      <c r="D26" s="13" t="n">
        <v>3457.09</v>
      </c>
      <c r="E26" s="15" t="n">
        <v>0</v>
      </c>
    </row>
    <row r="27">
      <c r="A27" s="10" t="inlineStr">
        <is>
          <t>Short Book — Collateral 担保金</t>
        </is>
      </c>
      <c r="B27" s="4" t="n">
        <v>9799.040000000001</v>
      </c>
      <c r="C27" s="4" t="n">
        <v>13572.64</v>
      </c>
      <c r="D27" s="4" t="n">
        <v>3457.09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489952.19</v>
      </c>
      <c r="C28" s="13" t="n">
        <v>678632.16</v>
      </c>
      <c r="D28" s="13" t="n">
        <v>172854.27</v>
      </c>
      <c r="E28" s="13" t="n">
        <v>949135.83</v>
      </c>
    </row>
    <row r="29">
      <c r="A29" s="10" t="inlineStr">
        <is>
          <t>Short Book — Market Value 市值(负债)</t>
        </is>
      </c>
      <c r="B29" s="4" t="n">
        <v>489952.19</v>
      </c>
      <c r="C29" s="4" t="n">
        <v>678632.16</v>
      </c>
      <c r="D29" s="4" t="n">
        <v>172854.27</v>
      </c>
      <c r="E29" s="4" t="n">
        <v>949135.83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5" t="n">
        <v>0</v>
      </c>
      <c r="E30" s="13" t="n">
        <v>18982.72</v>
      </c>
    </row>
    <row r="31">
      <c r="A31" s="16" t="inlineStr">
        <is>
          <t>Short Book — NAV</t>
        </is>
      </c>
      <c r="B31" s="4" t="n">
        <v>9799.040000000001</v>
      </c>
      <c r="C31" s="4" t="n">
        <v>13572.64</v>
      </c>
      <c r="D31" s="4" t="n">
        <v>3457.09</v>
      </c>
      <c r="E31" s="11" t="n">
        <v>0</v>
      </c>
    </row>
    <row r="32">
      <c r="A32" s="12" t="inlineStr">
        <is>
          <t>Unallocated Cash 未分配现金</t>
        </is>
      </c>
      <c r="B32" s="13" t="n">
        <v>297742.94</v>
      </c>
      <c r="C32" s="13" t="n">
        <v>47050.81</v>
      </c>
      <c r="D32" s="13" t="n">
        <v>787849.64</v>
      </c>
      <c r="E32" s="15" t="n">
        <v>0</v>
      </c>
    </row>
    <row r="33">
      <c r="A33" s="16" t="inlineStr">
        <is>
          <t>Dual-View NAV 双账户法NAV</t>
        </is>
      </c>
      <c r="B33" s="4" t="n">
        <v>1204391.54</v>
      </c>
      <c r="C33" s="4" t="n">
        <v>1138558.48</v>
      </c>
      <c r="D33" s="4" t="n">
        <v>1161207.27</v>
      </c>
      <c r="E33" s="4" t="n">
        <v>988662.39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575348.23</v>
      </c>
      <c r="C39" s="4" t="n">
        <v>393547.31</v>
      </c>
      <c r="D39" s="4" t="n">
        <v>561313.96</v>
      </c>
      <c r="E39" s="4" t="n">
        <v>414076.09</v>
      </c>
    </row>
    <row r="40">
      <c r="A40" s="12" t="inlineStr">
        <is>
          <t>Restricted Cash 受限现金 (PB 102%)</t>
        </is>
      </c>
      <c r="B40" s="15" t="n">
        <v>0</v>
      </c>
      <c r="C40" s="13" t="n">
        <v>177746.96</v>
      </c>
      <c r="D40" s="15" t="n">
        <v>0</v>
      </c>
      <c r="E40" s="13" t="n">
        <v>150956.05</v>
      </c>
    </row>
    <row r="41">
      <c r="A41" s="10" t="inlineStr">
        <is>
          <t>Long Securities 多头证券</t>
        </is>
      </c>
      <c r="B41" s="11" t="n">
        <v>0</v>
      </c>
      <c r="C41" s="4" t="n">
        <v>171329.16</v>
      </c>
      <c r="D41" s="11" t="n">
        <v>0</v>
      </c>
      <c r="E41" s="4" t="n">
        <v>152027.94</v>
      </c>
    </row>
    <row r="42">
      <c r="A42" s="14" t="inlineStr">
        <is>
          <t>Total Assets 总资产</t>
        </is>
      </c>
      <c r="B42" s="13" t="n">
        <v>575348.23</v>
      </c>
      <c r="C42" s="13" t="n">
        <v>742623.4300000001</v>
      </c>
      <c r="D42" s="13" t="n">
        <v>561313.96</v>
      </c>
      <c r="E42" s="13" t="n">
        <v>717060.0699999999</v>
      </c>
    </row>
    <row r="43">
      <c r="A43" s="10" t="inlineStr">
        <is>
          <t>Short Securities 空头证券 (义务)</t>
        </is>
      </c>
      <c r="B43" s="11" t="n">
        <v>0</v>
      </c>
      <c r="C43" s="4" t="n">
        <v>174261.73</v>
      </c>
      <c r="D43" s="11" t="n">
        <v>0</v>
      </c>
      <c r="E43" s="4" t="n">
        <v>147996.12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11" t="n">
        <v>0</v>
      </c>
      <c r="C45" s="4" t="n">
        <v>174261.73</v>
      </c>
      <c r="D45" s="11" t="n">
        <v>0</v>
      </c>
      <c r="E45" s="4" t="n">
        <v>147996.12</v>
      </c>
    </row>
    <row r="46">
      <c r="A46" s="14" t="inlineStr">
        <is>
          <t>NAV (Equity) 净值 = TA - TL</t>
        </is>
      </c>
      <c r="B46" s="13" t="n">
        <v>575348.23</v>
      </c>
      <c r="C46" s="13" t="n">
        <v>568361.7</v>
      </c>
      <c r="D46" s="13" t="n">
        <v>561313.96</v>
      </c>
      <c r="E46" s="13" t="n">
        <v>569063.95</v>
      </c>
    </row>
    <row r="47">
      <c r="A47" s="10" t="inlineStr">
        <is>
          <t>Gross Leverage 总杠杆 (x)</t>
        </is>
      </c>
      <c r="B47" s="7" t="n">
        <v>0</v>
      </c>
      <c r="C47" s="7" t="n">
        <v>0.608</v>
      </c>
      <c r="D47" s="7" t="n">
        <v>0</v>
      </c>
      <c r="E47" s="7" t="n">
        <v>0.527</v>
      </c>
    </row>
    <row r="48">
      <c r="A48" s="12" t="inlineStr">
        <is>
          <t>Net Leverage 净杠杆 (x)</t>
        </is>
      </c>
      <c r="B48" s="17" t="n">
        <v>0</v>
      </c>
      <c r="C48" s="17" t="n">
        <v>-0.005</v>
      </c>
      <c r="D48" s="17" t="n">
        <v>0</v>
      </c>
      <c r="E48" s="17" t="n">
        <v>0.007</v>
      </c>
    </row>
    <row r="49">
      <c r="A49" s="10" t="inlineStr">
        <is>
          <t>PM Requirement (20%)</t>
        </is>
      </c>
      <c r="B49" s="11" t="n">
        <v>0</v>
      </c>
      <c r="C49" s="4" t="n">
        <v>69118.17999999999</v>
      </c>
      <c r="D49" s="11" t="n">
        <v>0</v>
      </c>
      <c r="E49" s="4" t="n">
        <v>60004.81</v>
      </c>
    </row>
    <row r="50">
      <c r="A50" s="12" t="inlineStr">
        <is>
          <t>Excess Liquidity 超额流动性</t>
        </is>
      </c>
      <c r="B50" s="13" t="n">
        <v>575348.23</v>
      </c>
      <c r="C50" s="13" t="n">
        <v>499243.52</v>
      </c>
      <c r="D50" s="13" t="n">
        <v>561313.96</v>
      </c>
      <c r="E50" s="13" t="n">
        <v>509059.14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4" t="n">
        <v>171329.16</v>
      </c>
      <c r="D55" s="11" t="n">
        <v>0</v>
      </c>
      <c r="E55" s="4" t="n">
        <v>152027.94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11" t="n">
        <v>0</v>
      </c>
      <c r="C57" s="4" t="n">
        <v>171329.16</v>
      </c>
      <c r="D57" s="11" t="n">
        <v>0</v>
      </c>
      <c r="E57" s="4" t="n">
        <v>152027.94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11" t="n">
        <v>0</v>
      </c>
      <c r="C59" s="4" t="n">
        <v>171329.16</v>
      </c>
      <c r="D59" s="11" t="n">
        <v>0</v>
      </c>
      <c r="E59" s="4" t="n">
        <v>152027.94</v>
      </c>
    </row>
    <row r="60">
      <c r="A60" s="12" t="inlineStr">
        <is>
          <t>Short Book — Allocated Capital 分配资本</t>
        </is>
      </c>
      <c r="B60" s="15" t="n">
        <v>0</v>
      </c>
      <c r="C60" s="13" t="n">
        <v>3485.23</v>
      </c>
      <c r="D60" s="15" t="n">
        <v>0</v>
      </c>
      <c r="E60" s="13" t="n">
        <v>2959.92</v>
      </c>
    </row>
    <row r="61">
      <c r="A61" s="10" t="inlineStr">
        <is>
          <t>Short Book — Collateral 担保金</t>
        </is>
      </c>
      <c r="B61" s="11" t="n">
        <v>0</v>
      </c>
      <c r="C61" s="4" t="n">
        <v>3485.23</v>
      </c>
      <c r="D61" s="11" t="n">
        <v>0</v>
      </c>
      <c r="E61" s="4" t="n">
        <v>2959.92</v>
      </c>
    </row>
    <row r="62">
      <c r="A62" s="12" t="inlineStr">
        <is>
          <t>Short Book — Short Proceeds 做空收入</t>
        </is>
      </c>
      <c r="B62" s="15" t="n">
        <v>0</v>
      </c>
      <c r="C62" s="13" t="n">
        <v>174261.73</v>
      </c>
      <c r="D62" s="15" t="n">
        <v>0</v>
      </c>
      <c r="E62" s="13" t="n">
        <v>147996.12</v>
      </c>
    </row>
    <row r="63">
      <c r="A63" s="10" t="inlineStr">
        <is>
          <t>Short Book — Market Value 市值(负债)</t>
        </is>
      </c>
      <c r="B63" s="11" t="n">
        <v>0</v>
      </c>
      <c r="C63" s="4" t="n">
        <v>174261.73</v>
      </c>
      <c r="D63" s="11" t="n">
        <v>0</v>
      </c>
      <c r="E63" s="4" t="n">
        <v>147996.12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11" t="n">
        <v>0</v>
      </c>
      <c r="C65" s="4" t="n">
        <v>3485.23</v>
      </c>
      <c r="D65" s="11" t="n">
        <v>0</v>
      </c>
      <c r="E65" s="4" t="n">
        <v>2959.92</v>
      </c>
    </row>
    <row r="66">
      <c r="A66" s="12" t="inlineStr">
        <is>
          <t>Unallocated Cash 未分配现金</t>
        </is>
      </c>
      <c r="B66" s="13" t="n">
        <v>575348.23</v>
      </c>
      <c r="C66" s="13" t="n">
        <v>393547.31</v>
      </c>
      <c r="D66" s="13" t="n">
        <v>561313.96</v>
      </c>
      <c r="E66" s="13" t="n">
        <v>414076.09</v>
      </c>
    </row>
    <row r="67">
      <c r="A67" s="16" t="inlineStr">
        <is>
          <t>Dual-View NAV 双账户法NAV</t>
        </is>
      </c>
      <c r="B67" s="4" t="n">
        <v>575348.23</v>
      </c>
      <c r="C67" s="4" t="n">
        <v>568361.7</v>
      </c>
      <c r="D67" s="4" t="n">
        <v>561313.96</v>
      </c>
      <c r="E67" s="4" t="n">
        <v>569063.95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4" t="n">
        <v>226535.68</v>
      </c>
      <c r="E73" s="11" t="n">
        <v>0</v>
      </c>
    </row>
    <row r="74">
      <c r="A74" s="12" t="inlineStr">
        <is>
          <t>Restricted Cash 受限现金 (PB 102%)</t>
        </is>
      </c>
      <c r="B74" s="13" t="n">
        <v>499751.23</v>
      </c>
      <c r="C74" s="13" t="n">
        <v>514457.84</v>
      </c>
      <c r="D74" s="13" t="n">
        <v>176311.36</v>
      </c>
      <c r="E74" s="13" t="n">
        <v>817162.5</v>
      </c>
    </row>
    <row r="75">
      <c r="A75" s="10" t="inlineStr">
        <is>
          <t>Long Securities 多头证券</t>
        </is>
      </c>
      <c r="B75" s="4" t="n">
        <v>896849.5600000001</v>
      </c>
      <c r="C75" s="4" t="n">
        <v>906605.87</v>
      </c>
      <c r="D75" s="4" t="n">
        <v>369900.54</v>
      </c>
      <c r="E75" s="4" t="n">
        <v>1382287.58</v>
      </c>
    </row>
    <row r="76">
      <c r="A76" s="14" t="inlineStr">
        <is>
          <t>Total Assets 总资产</t>
        </is>
      </c>
      <c r="B76" s="13" t="n">
        <v>1396600.79</v>
      </c>
      <c r="C76" s="13" t="n">
        <v>1421063.71</v>
      </c>
      <c r="D76" s="13" t="n">
        <v>772747.58</v>
      </c>
      <c r="E76" s="13" t="n">
        <v>2199450.08</v>
      </c>
    </row>
    <row r="77">
      <c r="A77" s="10" t="inlineStr">
        <is>
          <t>Short Securities 空头证券 (义务)</t>
        </is>
      </c>
      <c r="B77" s="4" t="n">
        <v>489952.19</v>
      </c>
      <c r="C77" s="4" t="n">
        <v>504370.43</v>
      </c>
      <c r="D77" s="4" t="n">
        <v>172854.27</v>
      </c>
      <c r="E77" s="4" t="n">
        <v>801139.71</v>
      </c>
    </row>
    <row r="78">
      <c r="A78" s="12" t="inlineStr">
        <is>
          <t>Margin Loan 保证金借款</t>
        </is>
      </c>
      <c r="B78" s="13" t="n">
        <v>277605.29</v>
      </c>
      <c r="C78" s="13" t="n">
        <v>346496.5</v>
      </c>
      <c r="D78" s="15" t="n">
        <v>0</v>
      </c>
      <c r="E78" s="13" t="n">
        <v>978711.9399999999</v>
      </c>
    </row>
    <row r="79">
      <c r="A79" s="16" t="inlineStr">
        <is>
          <t>Total Liabilities 总负债</t>
        </is>
      </c>
      <c r="B79" s="4" t="n">
        <v>767557.48</v>
      </c>
      <c r="C79" s="4" t="n">
        <v>850866.9300000001</v>
      </c>
      <c r="D79" s="4" t="n">
        <v>172854.27</v>
      </c>
      <c r="E79" s="4" t="n">
        <v>1779851.65</v>
      </c>
    </row>
    <row r="80">
      <c r="A80" s="14" t="inlineStr">
        <is>
          <t>NAV (Equity) 净值 = TA - TL</t>
        </is>
      </c>
      <c r="B80" s="13" t="n">
        <v>629043.3100000001</v>
      </c>
      <c r="C80" s="13" t="n">
        <v>570196.78</v>
      </c>
      <c r="D80" s="13" t="n">
        <v>599893.3100000001</v>
      </c>
      <c r="E80" s="13" t="n">
        <v>419598.43</v>
      </c>
    </row>
    <row r="81">
      <c r="A81" s="10" t="inlineStr">
        <is>
          <t>Gross Leverage 总杠杆 (x)</t>
        </is>
      </c>
      <c r="B81" s="7" t="n">
        <v>2.205</v>
      </c>
      <c r="C81" s="7" t="n">
        <v>2.475</v>
      </c>
      <c r="D81" s="7" t="n">
        <v>0.905</v>
      </c>
      <c r="E81" s="7" t="n">
        <v>5.204</v>
      </c>
    </row>
    <row r="82">
      <c r="A82" s="12" t="inlineStr">
        <is>
          <t>Net Leverage 净杠杆 (x)</t>
        </is>
      </c>
      <c r="B82" s="17" t="n">
        <v>0.647</v>
      </c>
      <c r="C82" s="17" t="n">
        <v>0.705</v>
      </c>
      <c r="D82" s="17" t="n">
        <v>0.328</v>
      </c>
      <c r="E82" s="17" t="n">
        <v>1.385</v>
      </c>
    </row>
    <row r="83">
      <c r="A83" s="10" t="inlineStr">
        <is>
          <t>PM Requirement (20%)</t>
        </is>
      </c>
      <c r="B83" s="4" t="n">
        <v>277360.35</v>
      </c>
      <c r="C83" s="4" t="n">
        <v>282195.26</v>
      </c>
      <c r="D83" s="4" t="n">
        <v>108550.96</v>
      </c>
      <c r="E83" s="4" t="n">
        <v>436685.46</v>
      </c>
    </row>
    <row r="84">
      <c r="A84" s="12" t="inlineStr">
        <is>
          <t>Excess Liquidity 超额流动性</t>
        </is>
      </c>
      <c r="B84" s="13" t="n">
        <v>351682.96</v>
      </c>
      <c r="C84" s="13" t="n">
        <v>288001.52</v>
      </c>
      <c r="D84" s="13" t="n">
        <v>491342.35</v>
      </c>
      <c r="E84" s="18" t="n">
        <v>-17087.03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629043.3100000001</v>
      </c>
      <c r="C89" s="4" t="n">
        <v>570196.78</v>
      </c>
      <c r="D89" s="4" t="n">
        <v>369900.54</v>
      </c>
      <c r="E89" s="4" t="n">
        <v>419598.43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896849.5600000001</v>
      </c>
      <c r="C91" s="4" t="n">
        <v>906605.87</v>
      </c>
      <c r="D91" s="4" t="n">
        <v>369900.54</v>
      </c>
      <c r="E91" s="4" t="n">
        <v>1382287.58</v>
      </c>
    </row>
    <row r="92">
      <c r="A92" s="12" t="inlineStr">
        <is>
          <t>Long Book — Margin Loan 融资</t>
        </is>
      </c>
      <c r="B92" s="13" t="n">
        <v>267806.25</v>
      </c>
      <c r="C92" s="13" t="n">
        <v>336409.09</v>
      </c>
      <c r="D92" s="15" t="n">
        <v>0</v>
      </c>
      <c r="E92" s="13" t="n">
        <v>962689.15</v>
      </c>
    </row>
    <row r="93">
      <c r="A93" s="16" t="inlineStr">
        <is>
          <t>Long Book — NAV</t>
        </is>
      </c>
      <c r="B93" s="4" t="n">
        <v>629043.3100000001</v>
      </c>
      <c r="C93" s="4" t="n">
        <v>570196.78</v>
      </c>
      <c r="D93" s="4" t="n">
        <v>369900.54</v>
      </c>
      <c r="E93" s="4" t="n">
        <v>419598.43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3" t="n">
        <v>3457.09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4" t="n">
        <v>3457.09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489952.19</v>
      </c>
      <c r="C96" s="13" t="n">
        <v>504370.43</v>
      </c>
      <c r="D96" s="13" t="n">
        <v>172854.27</v>
      </c>
      <c r="E96" s="13" t="n">
        <v>801139.71</v>
      </c>
    </row>
    <row r="97">
      <c r="A97" s="10" t="inlineStr">
        <is>
          <t>Short Book — Market Value 市值(负债)</t>
        </is>
      </c>
      <c r="B97" s="4" t="n">
        <v>489952.19</v>
      </c>
      <c r="C97" s="4" t="n">
        <v>504370.43</v>
      </c>
      <c r="D97" s="4" t="n">
        <v>172854.27</v>
      </c>
      <c r="E97" s="4" t="n">
        <v>801139.71</v>
      </c>
    </row>
    <row r="98">
      <c r="A98" s="12" t="inlineStr">
        <is>
          <t>Short Book — Margin Loan 融资(2%)</t>
        </is>
      </c>
      <c r="B98" s="13" t="n">
        <v>9799.040000000001</v>
      </c>
      <c r="C98" s="13" t="n">
        <v>10087.41</v>
      </c>
      <c r="D98" s="15" t="n">
        <v>0</v>
      </c>
      <c r="E98" s="13" t="n">
        <v>16022.79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4" t="n">
        <v>3457.09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3" t="n">
        <v>226535.68</v>
      </c>
      <c r="E100" s="15" t="n">
        <v>0</v>
      </c>
    </row>
    <row r="101">
      <c r="A101" s="16" t="inlineStr">
        <is>
          <t>Dual-View NAV 双账户法NAV</t>
        </is>
      </c>
      <c r="B101" s="4" t="n">
        <v>629043.3100000001</v>
      </c>
      <c r="C101" s="4" t="n">
        <v>570196.78</v>
      </c>
      <c r="D101" s="4" t="n">
        <v>599893.3100000001</v>
      </c>
      <c r="E101" s="4" t="n">
        <v>419598.43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65833.06</v>
      </c>
      <c r="C5" s="4" t="n">
        <v>43184.27</v>
      </c>
      <c r="D5" s="4" t="n">
        <v>215729.15</v>
      </c>
      <c r="E5" s="4" t="n">
        <v>282892.75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62197.78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6986.53</v>
      </c>
      <c r="C11" s="4" t="n">
        <v>14034.27</v>
      </c>
      <c r="D11" s="4" t="n">
        <v>6284.28</v>
      </c>
      <c r="E11" s="4" t="n">
        <v>66016.28999999999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58846.53</v>
      </c>
      <c r="C17" s="4" t="n">
        <v>29150</v>
      </c>
      <c r="D17" s="4" t="n">
        <v>209444.88</v>
      </c>
      <c r="E17" s="4" t="n">
        <v>216876.46</v>
      </c>
    </row>
    <row r="18">
      <c r="A18" s="12" t="inlineStr">
        <is>
          <t>Interest expense (est)</t>
        </is>
      </c>
      <c r="B18" s="15" t="n">
        <v>38.03</v>
      </c>
      <c r="C18" s="13" t="n">
        <v>190.14</v>
      </c>
      <c r="D18" s="13" t="n">
        <v>798.59</v>
      </c>
      <c r="E18" s="13" t="n">
        <v>6274.64</v>
      </c>
    </row>
    <row r="19">
      <c r="A19" s="10" t="inlineStr">
        <is>
          <t>Current unrealized PnL</t>
        </is>
      </c>
      <c r="B19" s="4" t="n">
        <v>62197.78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1138558.48</v>
      </c>
      <c r="C5" s="4" t="n">
        <v>1161207.27</v>
      </c>
      <c r="D5" s="4" t="n">
        <v>988662.39</v>
      </c>
      <c r="E5" s="4" t="n">
        <v>921498.79</v>
      </c>
    </row>
    <row r="6">
      <c r="A6" s="12" t="inlineStr">
        <is>
          <t>Net income</t>
        </is>
      </c>
      <c r="B6" s="13" t="n">
        <v>65833.06</v>
      </c>
      <c r="C6" s="13" t="n">
        <v>43184.27</v>
      </c>
      <c r="D6" s="13" t="n">
        <v>215729.15</v>
      </c>
      <c r="E6" s="13" t="n">
        <v>282892.75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1204391.54</v>
      </c>
      <c r="C9" s="4" t="n">
        <v>1204391.54</v>
      </c>
      <c r="D9" s="4" t="n">
        <v>1204391.54</v>
      </c>
      <c r="E9" s="4" t="n">
        <v>1204391.54</v>
      </c>
    </row>
    <row r="10">
      <c r="A10" s="12" t="inlineStr">
        <is>
          <t>Return (%)</t>
        </is>
      </c>
      <c r="B10" s="19" t="n">
        <v>5.78</v>
      </c>
      <c r="C10" s="19" t="n">
        <v>3.72</v>
      </c>
      <c r="D10" s="19" t="n">
        <v>21.82</v>
      </c>
      <c r="E10" s="19" t="n">
        <v>30.7</v>
      </c>
    </row>
    <row r="11">
      <c r="A11" s="10" t="inlineStr">
        <is>
          <t>Max drawdown (%)</t>
        </is>
      </c>
      <c r="B11" s="20" t="n">
        <v>0</v>
      </c>
      <c r="C11" s="21" t="n">
        <v>-4.68</v>
      </c>
      <c r="D11" s="21" t="n">
        <v>-9.5</v>
      </c>
      <c r="E11" s="21" t="n">
        <v>-9.5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568361.7</v>
      </c>
      <c r="C15" s="4" t="n">
        <v>561313.96</v>
      </c>
      <c r="D15" s="4" t="n">
        <v>569063.95</v>
      </c>
      <c r="E15" s="4" t="n">
        <v>509331.94</v>
      </c>
    </row>
    <row r="16">
      <c r="A16" s="12" t="inlineStr">
        <is>
          <t>Net income</t>
        </is>
      </c>
      <c r="B16" s="13" t="n">
        <v>6986.53</v>
      </c>
      <c r="C16" s="13" t="n">
        <v>14034.27</v>
      </c>
      <c r="D16" s="13" t="n">
        <v>6284.28</v>
      </c>
      <c r="E16" s="13" t="n">
        <v>66016.28999999999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575348.23</v>
      </c>
      <c r="C19" s="4" t="n">
        <v>575348.23</v>
      </c>
      <c r="D19" s="4" t="n">
        <v>575348.23</v>
      </c>
      <c r="E19" s="4" t="n">
        <v>575348.23</v>
      </c>
    </row>
    <row r="20">
      <c r="A20" s="12" t="inlineStr">
        <is>
          <t>Return (%)</t>
        </is>
      </c>
      <c r="B20" s="19" t="n">
        <v>1.23</v>
      </c>
      <c r="C20" s="19" t="n">
        <v>2.5</v>
      </c>
      <c r="D20" s="19" t="n">
        <v>1.1</v>
      </c>
      <c r="E20" s="19" t="n">
        <v>12.96</v>
      </c>
    </row>
    <row r="21">
      <c r="A21" s="10" t="inlineStr">
        <is>
          <t>Max drawdown (%)</t>
        </is>
      </c>
      <c r="B21" s="20" t="n">
        <v>0</v>
      </c>
      <c r="C21" s="20" t="n">
        <v>0</v>
      </c>
      <c r="D21" s="21" t="n">
        <v>-2.01</v>
      </c>
      <c r="E21" s="21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570196.78</v>
      </c>
      <c r="C25" s="4" t="n">
        <v>599893.3100000001</v>
      </c>
      <c r="D25" s="4" t="n">
        <v>419598.43</v>
      </c>
      <c r="E25" s="4" t="n">
        <v>412166.85</v>
      </c>
    </row>
    <row r="26">
      <c r="A26" s="12" t="inlineStr">
        <is>
          <t>Net income</t>
        </is>
      </c>
      <c r="B26" s="13" t="n">
        <v>58846.53</v>
      </c>
      <c r="C26" s="13" t="n">
        <v>29150</v>
      </c>
      <c r="D26" s="13" t="n">
        <v>209444.88</v>
      </c>
      <c r="E26" s="13" t="n">
        <v>216876.46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629043.3100000001</v>
      </c>
      <c r="C29" s="4" t="n">
        <v>629043.3100000001</v>
      </c>
      <c r="D29" s="4" t="n">
        <v>629043.3100000001</v>
      </c>
      <c r="E29" s="4" t="n">
        <v>629043.3100000001</v>
      </c>
    </row>
    <row r="30">
      <c r="A30" s="12" t="inlineStr">
        <is>
          <t>Return (%)</t>
        </is>
      </c>
      <c r="B30" s="19" t="n">
        <v>10.32</v>
      </c>
      <c r="C30" s="19" t="n">
        <v>4.86</v>
      </c>
      <c r="D30" s="19" t="n">
        <v>49.92</v>
      </c>
      <c r="E30" s="19" t="n">
        <v>52.62</v>
      </c>
    </row>
    <row r="31">
      <c r="A31" s="10" t="inlineStr">
        <is>
          <t>Max drawdown (%)</t>
        </is>
      </c>
      <c r="B31" s="20" t="n">
        <v>0</v>
      </c>
      <c r="C31" s="21" t="n">
        <v>-9.91</v>
      </c>
      <c r="D31" s="21" t="n">
        <v>-18.48</v>
      </c>
      <c r="E31" s="21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43184.27</v>
      </c>
    </row>
    <row r="5">
      <c r="A5" s="3" t="inlineStr">
        <is>
          <t>Investing cash flow</t>
        </is>
      </c>
      <c r="B5" s="22" t="n">
        <v>-209851.1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22" t="n">
        <v>-166666.83</v>
      </c>
    </row>
    <row r="8">
      <c r="A8" s="3" t="inlineStr">
        <is>
          <t>Beginning cash</t>
        </is>
      </c>
      <c r="B8" s="4" t="n">
        <v>787849.64</v>
      </c>
    </row>
    <row r="9">
      <c r="A9" s="3" t="inlineStr">
        <is>
          <t>Ending cash</t>
        </is>
      </c>
      <c r="B9" s="4" t="n">
        <v>297742.94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1011120.14</v>
      </c>
    </row>
    <row r="97">
      <c r="A97" s="12" t="inlineStr">
        <is>
          <t>2026-03-20</t>
        </is>
      </c>
      <c r="B97" s="13" t="n">
        <v>1025102.13</v>
      </c>
    </row>
    <row r="98">
      <c r="A98" s="10" t="inlineStr">
        <is>
          <t>2026-03-23</t>
        </is>
      </c>
      <c r="B98" s="4" t="n">
        <v>1026726.52</v>
      </c>
    </row>
    <row r="99">
      <c r="A99" s="12" t="inlineStr">
        <is>
          <t>2026-03-24</t>
        </is>
      </c>
      <c r="B99" s="13" t="n">
        <v>1015345.53</v>
      </c>
    </row>
    <row r="100">
      <c r="A100" s="10" t="inlineStr">
        <is>
          <t>2026-03-25</t>
        </is>
      </c>
      <c r="B100" s="4" t="n">
        <v>1003139.66</v>
      </c>
    </row>
    <row r="101">
      <c r="A101" s="12" t="inlineStr">
        <is>
          <t>2026-03-26</t>
        </is>
      </c>
      <c r="B101" s="13" t="n">
        <v>1013248.01</v>
      </c>
    </row>
    <row r="102">
      <c r="A102" s="10" t="inlineStr">
        <is>
          <t>2026-03-27</t>
        </is>
      </c>
      <c r="B102" s="4" t="n">
        <v>1026970.59</v>
      </c>
    </row>
    <row r="103">
      <c r="A103" s="12" t="inlineStr">
        <is>
          <t>2026-03-30</t>
        </is>
      </c>
      <c r="B103" s="13" t="n">
        <v>1054040.89</v>
      </c>
    </row>
    <row r="104">
      <c r="A104" s="10" t="inlineStr">
        <is>
          <t>2026-03-31</t>
        </is>
      </c>
      <c r="B104" s="4" t="n">
        <v>1051389.39</v>
      </c>
    </row>
    <row r="105">
      <c r="A105" s="12" t="inlineStr">
        <is>
          <t>2026-04-01</t>
        </is>
      </c>
      <c r="B105" s="13" t="n">
        <v>1049996.1</v>
      </c>
    </row>
    <row r="106">
      <c r="A106" s="10" t="inlineStr">
        <is>
          <t>2026-04-02</t>
        </is>
      </c>
      <c r="B106" s="4" t="n">
        <v>1049526.64</v>
      </c>
    </row>
    <row r="107">
      <c r="A107" s="12" t="inlineStr">
        <is>
          <t>2026-04-03</t>
        </is>
      </c>
      <c r="B107" s="13" t="n">
        <v>1043195.17</v>
      </c>
    </row>
    <row r="108">
      <c r="A108" s="10" t="inlineStr">
        <is>
          <t>2026-04-06</t>
        </is>
      </c>
      <c r="B108" s="4" t="n">
        <v>1048976.96</v>
      </c>
    </row>
    <row r="109">
      <c r="A109" s="12" t="inlineStr">
        <is>
          <t>2026-04-07</t>
        </is>
      </c>
      <c r="B109" s="13" t="n">
        <v>1043068.02</v>
      </c>
    </row>
    <row r="110">
      <c r="A110" s="10" t="inlineStr">
        <is>
          <t>2026-04-08</t>
        </is>
      </c>
      <c r="B110" s="4" t="n">
        <v>1044578.26</v>
      </c>
    </row>
    <row r="111">
      <c r="A111" s="12" t="inlineStr">
        <is>
          <t>2026-04-09</t>
        </is>
      </c>
      <c r="B111" s="13" t="n">
        <v>1070682.28</v>
      </c>
    </row>
    <row r="112">
      <c r="A112" s="10" t="inlineStr">
        <is>
          <t>2026-04-10</t>
        </is>
      </c>
      <c r="B112" s="4" t="n">
        <v>1061782.33</v>
      </c>
    </row>
    <row r="113">
      <c r="A113" s="12" t="inlineStr">
        <is>
          <t>2026-04-13</t>
        </is>
      </c>
      <c r="B113" s="13" t="n">
        <v>1074924.44</v>
      </c>
    </row>
    <row r="114">
      <c r="A114" s="10" t="inlineStr">
        <is>
          <t>2026-04-14</t>
        </is>
      </c>
      <c r="B114" s="4" t="n">
        <v>1080458.65</v>
      </c>
    </row>
    <row r="115">
      <c r="A115" s="12" t="inlineStr">
        <is>
          <t>2026-04-15</t>
        </is>
      </c>
      <c r="B115" s="13" t="n">
        <v>1086745.59</v>
      </c>
    </row>
    <row r="116">
      <c r="A116" s="10" t="inlineStr">
        <is>
          <t>2026-04-16</t>
        </is>
      </c>
      <c r="B116" s="4" t="n">
        <v>1071876.62</v>
      </c>
    </row>
    <row r="117">
      <c r="A117" s="12" t="inlineStr">
        <is>
          <t>2026-04-17</t>
        </is>
      </c>
      <c r="B117" s="13" t="n">
        <v>1065505.69</v>
      </c>
    </row>
    <row r="118">
      <c r="A118" s="10" t="inlineStr">
        <is>
          <t>2026-04-20</t>
        </is>
      </c>
      <c r="B118" s="4" t="n">
        <v>1080410.43</v>
      </c>
    </row>
    <row r="119">
      <c r="A119" s="12" t="inlineStr">
        <is>
          <t>2026-04-21</t>
        </is>
      </c>
      <c r="B119" s="13" t="n">
        <v>1075284.64</v>
      </c>
    </row>
    <row r="120">
      <c r="A120" s="10" t="inlineStr">
        <is>
          <t>2026-04-22</t>
        </is>
      </c>
      <c r="B120" s="4" t="n">
        <v>1070644.87</v>
      </c>
    </row>
    <row r="121">
      <c r="A121" s="12" t="inlineStr">
        <is>
          <t>2026-04-23</t>
        </is>
      </c>
      <c r="B121" s="13" t="n">
        <v>1073225.65</v>
      </c>
    </row>
    <row r="122">
      <c r="A122" s="10" t="inlineStr">
        <is>
          <t>2026-04-24</t>
        </is>
      </c>
      <c r="B122" s="4" t="n">
        <v>1073780.16</v>
      </c>
    </row>
    <row r="123">
      <c r="A123" s="12" t="inlineStr">
        <is>
          <t>2026-04-27</t>
        </is>
      </c>
      <c r="B123" s="13" t="n">
        <v>1084028.74</v>
      </c>
    </row>
    <row r="124">
      <c r="A124" s="10" t="inlineStr">
        <is>
          <t>2026-04-28</t>
        </is>
      </c>
      <c r="B124" s="4" t="n">
        <v>1085023.13</v>
      </c>
    </row>
    <row r="125">
      <c r="A125" s="12" t="inlineStr">
        <is>
          <t>2026-04-29</t>
        </is>
      </c>
      <c r="B125" s="13" t="n">
        <v>1092109.36</v>
      </c>
    </row>
    <row r="126">
      <c r="A126" s="10" t="inlineStr">
        <is>
          <t>2026-04-30</t>
        </is>
      </c>
      <c r="B126" s="4" t="n">
        <v>1092239.44</v>
      </c>
    </row>
    <row r="127">
      <c r="A127" s="12" t="inlineStr">
        <is>
          <t>2026-05-01</t>
        </is>
      </c>
      <c r="B127" s="13" t="n">
        <v>1052265.75</v>
      </c>
    </row>
    <row r="128">
      <c r="A128" s="10" t="inlineStr">
        <is>
          <t>2026-05-04</t>
        </is>
      </c>
      <c r="B128" s="4" t="n">
        <v>1048639.19</v>
      </c>
    </row>
    <row r="129">
      <c r="A129" s="12" t="inlineStr">
        <is>
          <t>2026-05-05</t>
        </is>
      </c>
      <c r="B129" s="13" t="n">
        <v>1043115.77</v>
      </c>
    </row>
    <row r="130">
      <c r="A130" s="10" t="inlineStr">
        <is>
          <t>2026-05-06</t>
        </is>
      </c>
      <c r="B130" s="4" t="n">
        <v>1031694.33</v>
      </c>
    </row>
    <row r="131">
      <c r="A131" s="12" t="inlineStr">
        <is>
          <t>2026-05-07</t>
        </is>
      </c>
      <c r="B131" s="13" t="n">
        <v>1038826.95</v>
      </c>
    </row>
    <row r="132">
      <c r="A132" s="10" t="inlineStr">
        <is>
          <t>2026-05-08</t>
        </is>
      </c>
      <c r="B132" s="4" t="n">
        <v>1036728.2</v>
      </c>
    </row>
    <row r="133">
      <c r="A133" s="12" t="inlineStr">
        <is>
          <t>2026-05-11</t>
        </is>
      </c>
      <c r="B133" s="13" t="n">
        <v>1018608.72</v>
      </c>
    </row>
    <row r="134">
      <c r="A134" s="10" t="inlineStr">
        <is>
          <t>2026-05-12</t>
        </is>
      </c>
      <c r="B134" s="4" t="n">
        <v>1013593.96</v>
      </c>
    </row>
    <row r="135">
      <c r="A135" s="12" t="inlineStr">
        <is>
          <t>2026-05-13</t>
        </is>
      </c>
      <c r="B135" s="13" t="n">
        <v>998864.35</v>
      </c>
    </row>
    <row r="136">
      <c r="A136" s="10" t="inlineStr">
        <is>
          <t>2026-05-14</t>
        </is>
      </c>
      <c r="B136" s="4" t="n">
        <v>1010817.61</v>
      </c>
    </row>
    <row r="137">
      <c r="A137" s="12" t="inlineStr">
        <is>
          <t>2026-05-15</t>
        </is>
      </c>
      <c r="B137" s="13" t="n">
        <v>1013898.76</v>
      </c>
    </row>
    <row r="138">
      <c r="A138" s="10" t="inlineStr">
        <is>
          <t>2026-05-18</t>
        </is>
      </c>
      <c r="B138" s="4" t="n">
        <v>1011243.44</v>
      </c>
    </row>
    <row r="139">
      <c r="A139" s="12" t="inlineStr">
        <is>
          <t>2026-05-19</t>
        </is>
      </c>
      <c r="B139" s="13" t="n">
        <v>997844.09</v>
      </c>
    </row>
    <row r="140">
      <c r="A140" s="10" t="inlineStr">
        <is>
          <t>2026-05-20</t>
        </is>
      </c>
      <c r="B140" s="4" t="n">
        <v>1013991.49</v>
      </c>
    </row>
    <row r="141">
      <c r="A141" s="12" t="inlineStr">
        <is>
          <t>2026-05-21</t>
        </is>
      </c>
      <c r="B141" s="13" t="n">
        <v>1023088.53</v>
      </c>
    </row>
    <row r="142">
      <c r="A142" s="10" t="inlineStr">
        <is>
          <t>2026-05-22</t>
        </is>
      </c>
      <c r="B142" s="4" t="n">
        <v>1023399.75</v>
      </c>
    </row>
    <row r="143">
      <c r="A143" s="12" t="inlineStr">
        <is>
          <t>2026-05-25</t>
        </is>
      </c>
      <c r="B143" s="13" t="n">
        <v>996308.45</v>
      </c>
    </row>
    <row r="144">
      <c r="A144" s="10" t="inlineStr">
        <is>
          <t>2026-05-26</t>
        </is>
      </c>
      <c r="B144" s="4" t="n">
        <v>1016403.11</v>
      </c>
    </row>
    <row r="145">
      <c r="A145" s="12" t="inlineStr">
        <is>
          <t>2026-05-27</t>
        </is>
      </c>
      <c r="B145" s="13" t="n">
        <v>997497.3100000001</v>
      </c>
    </row>
    <row r="146">
      <c r="A146" s="10" t="inlineStr">
        <is>
          <t>2026-05-28</t>
        </is>
      </c>
      <c r="B146" s="4" t="n">
        <v>990933.1899999999</v>
      </c>
    </row>
    <row r="147">
      <c r="A147" s="12" t="inlineStr">
        <is>
          <t>2026-05-29</t>
        </is>
      </c>
      <c r="B147" s="13" t="n">
        <v>988662.39</v>
      </c>
    </row>
    <row r="148">
      <c r="A148" s="10" t="inlineStr">
        <is>
          <t>2026-06-01</t>
        </is>
      </c>
      <c r="B148" s="4" t="n">
        <v>1004350.8</v>
      </c>
    </row>
    <row r="149">
      <c r="A149" s="12" t="inlineStr">
        <is>
          <t>2026-06-02</t>
        </is>
      </c>
      <c r="B149" s="13" t="n">
        <v>1100399.03</v>
      </c>
    </row>
    <row r="150">
      <c r="A150" s="10" t="inlineStr">
        <is>
          <t>2026-06-03</t>
        </is>
      </c>
      <c r="B150" s="4" t="n">
        <v>1109261.36</v>
      </c>
    </row>
    <row r="151">
      <c r="A151" s="12" t="inlineStr">
        <is>
          <t>2026-06-04</t>
        </is>
      </c>
      <c r="B151" s="13" t="n">
        <v>1112658.81</v>
      </c>
    </row>
    <row r="152">
      <c r="A152" s="10" t="inlineStr">
        <is>
          <t>2026-06-05</t>
        </is>
      </c>
      <c r="B152" s="4" t="n">
        <v>1006931.9</v>
      </c>
    </row>
    <row r="153">
      <c r="A153" s="12" t="inlineStr">
        <is>
          <t>2026-06-08</t>
        </is>
      </c>
      <c r="B153" s="13" t="n">
        <v>1064178.43</v>
      </c>
    </row>
    <row r="154">
      <c r="A154" s="10" t="inlineStr">
        <is>
          <t>2026-06-09</t>
        </is>
      </c>
      <c r="B154" s="4" t="n">
        <v>1056004.68</v>
      </c>
    </row>
    <row r="155">
      <c r="A155" s="12" t="inlineStr">
        <is>
          <t>2026-06-10</t>
        </is>
      </c>
      <c r="B155" s="13" t="n">
        <v>1054880.29</v>
      </c>
    </row>
    <row r="156">
      <c r="A156" s="10" t="inlineStr">
        <is>
          <t>2026-06-11</t>
        </is>
      </c>
      <c r="B156" s="4" t="n">
        <v>1137143.52</v>
      </c>
    </row>
    <row r="157">
      <c r="A157" s="12" t="inlineStr">
        <is>
          <t>2026-06-12</t>
        </is>
      </c>
      <c r="B157" s="13" t="n">
        <v>1149689.35</v>
      </c>
    </row>
    <row r="158">
      <c r="A158" s="10" t="inlineStr">
        <is>
          <t>2026-06-15</t>
        </is>
      </c>
      <c r="B158" s="4" t="n">
        <v>1150283.35</v>
      </c>
    </row>
    <row r="159">
      <c r="A159" s="12" t="inlineStr">
        <is>
          <t>2026-06-16</t>
        </is>
      </c>
      <c r="B159" s="13" t="n">
        <v>1116982.19</v>
      </c>
    </row>
    <row r="160">
      <c r="A160" s="10" t="inlineStr">
        <is>
          <t>2026-06-17</t>
        </is>
      </c>
      <c r="B160" s="4" t="n">
        <v>1127339.54</v>
      </c>
    </row>
    <row r="161">
      <c r="A161" s="12" t="inlineStr">
        <is>
          <t>2026-06-18</t>
        </is>
      </c>
      <c r="B161" s="13" t="n">
        <v>1144570.27</v>
      </c>
    </row>
    <row r="162">
      <c r="A162" s="10" t="inlineStr">
        <is>
          <t>2026-06-19</t>
        </is>
      </c>
      <c r="B162" s="4" t="n">
        <v>1100958.18</v>
      </c>
    </row>
    <row r="163">
      <c r="A163" s="12" t="inlineStr">
        <is>
          <t>2026-06-22</t>
        </is>
      </c>
      <c r="B163" s="13" t="n">
        <v>1161207.27</v>
      </c>
    </row>
    <row r="164">
      <c r="A164" s="10" t="inlineStr">
        <is>
          <t>2026-06-23</t>
        </is>
      </c>
      <c r="B164" s="4" t="n">
        <v>1137445.1</v>
      </c>
    </row>
    <row r="165">
      <c r="A165" s="12" t="inlineStr">
        <is>
          <t>2026-06-24</t>
        </is>
      </c>
      <c r="B165" s="13" t="n">
        <v>1106895.45</v>
      </c>
    </row>
    <row r="166">
      <c r="A166" s="10" t="inlineStr">
        <is>
          <t>2026-06-25</t>
        </is>
      </c>
      <c r="B166" s="4" t="n">
        <v>1126622.95</v>
      </c>
    </row>
    <row r="167">
      <c r="A167" s="12" t="inlineStr">
        <is>
          <t>2026-06-26</t>
        </is>
      </c>
      <c r="B167" s="13" t="n">
        <v>1138558.48</v>
      </c>
    </row>
    <row r="168">
      <c r="A168" s="10" t="inlineStr">
        <is>
          <t>2026-06-29</t>
        </is>
      </c>
      <c r="B168" s="4" t="n">
        <v>1204391.54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1204391.54</v>
      </c>
      <c r="C4" s="4" t="n">
        <v>896849.5600000001</v>
      </c>
      <c r="D4" s="4" t="n">
        <v>489952.19</v>
      </c>
      <c r="E4" s="4" t="n">
        <v>1386801.75</v>
      </c>
      <c r="F4" s="4" t="n">
        <v>406897.37</v>
      </c>
      <c r="G4" s="5" t="n">
        <v>1.151</v>
      </c>
      <c r="H4" s="5" t="n">
        <v>0.338</v>
      </c>
      <c r="I4" s="5" t="n">
        <v>115.15</v>
      </c>
      <c r="J4" s="5" t="n">
        <v>57.57</v>
      </c>
      <c r="K4" s="23" t="n">
        <v>7</v>
      </c>
    </row>
    <row r="5">
      <c r="A5" s="12" t="inlineStr">
        <is>
          <t>MRPT</t>
        </is>
      </c>
      <c r="B5" s="13" t="n">
        <v>575348.23</v>
      </c>
      <c r="C5" s="15" t="n">
        <v>0</v>
      </c>
      <c r="D5" s="15" t="n">
        <v>0</v>
      </c>
      <c r="E5" s="15" t="n">
        <v>0</v>
      </c>
      <c r="F5" s="15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5" t="n">
        <v>0</v>
      </c>
    </row>
    <row r="6">
      <c r="A6" s="10" t="inlineStr">
        <is>
          <t>MTFS</t>
        </is>
      </c>
      <c r="B6" s="4" t="n">
        <v>629043.3100000001</v>
      </c>
      <c r="C6" s="4" t="n">
        <v>896849.5600000001</v>
      </c>
      <c r="D6" s="4" t="n">
        <v>489952.19</v>
      </c>
      <c r="E6" s="4" t="n">
        <v>1386801.75</v>
      </c>
      <c r="F6" s="4" t="n">
        <v>406897.37</v>
      </c>
      <c r="G6" s="5" t="n">
        <v>2.205</v>
      </c>
      <c r="H6" s="5" t="n">
        <v>0.647</v>
      </c>
      <c r="I6" s="5" t="n">
        <v>220.46</v>
      </c>
      <c r="J6" s="5" t="n">
        <v>110.23</v>
      </c>
      <c r="K6" s="23" t="n">
        <v>7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HHI=0.1502  ·  effective N pairs=6.7  ·  max pair=20.17%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GLW</t>
        </is>
      </c>
      <c r="B6" s="4" t="n">
        <v>325237.68</v>
      </c>
      <c r="C6" s="4" t="n">
        <v>325237.68</v>
      </c>
      <c r="D6" s="20" t="n">
        <v>27</v>
      </c>
      <c r="E6" s="20" t="n">
        <v>23.45</v>
      </c>
      <c r="F6" s="23" t="n">
        <v>2</v>
      </c>
    </row>
    <row r="7">
      <c r="A7" s="12" t="inlineStr">
        <is>
          <t>IRM</t>
        </is>
      </c>
      <c r="B7" s="13" t="n">
        <v>227187.56</v>
      </c>
      <c r="C7" s="13" t="n">
        <v>227187.56</v>
      </c>
      <c r="D7" s="19" t="n">
        <v>18.86</v>
      </c>
      <c r="E7" s="19" t="n">
        <v>16.38</v>
      </c>
      <c r="F7" s="25" t="n">
        <v>2</v>
      </c>
    </row>
    <row r="8">
      <c r="A8" s="10" t="inlineStr">
        <is>
          <t>CAT</t>
        </is>
      </c>
      <c r="B8" s="4" t="n">
        <v>175642.3</v>
      </c>
      <c r="C8" s="4" t="n">
        <v>175642.3</v>
      </c>
      <c r="D8" s="20" t="n">
        <v>14.58</v>
      </c>
      <c r="E8" s="20" t="n">
        <v>12.67</v>
      </c>
      <c r="F8" s="23" t="n">
        <v>1</v>
      </c>
    </row>
    <row r="9">
      <c r="A9" s="12" t="inlineStr">
        <is>
          <t>ADBE</t>
        </is>
      </c>
      <c r="B9" s="13" t="n">
        <v>104040.72</v>
      </c>
      <c r="C9" s="18" t="n">
        <v>-104040.72</v>
      </c>
      <c r="D9" s="19" t="n">
        <v>8.640000000000001</v>
      </c>
      <c r="E9" s="19" t="n">
        <v>7.5</v>
      </c>
      <c r="F9" s="25" t="n">
        <v>1</v>
      </c>
    </row>
    <row r="10">
      <c r="A10" s="10" t="inlineStr">
        <is>
          <t>TER</t>
        </is>
      </c>
      <c r="B10" s="4" t="n">
        <v>86620.27</v>
      </c>
      <c r="C10" s="4" t="n">
        <v>86620.27</v>
      </c>
      <c r="D10" s="20" t="n">
        <v>7.19</v>
      </c>
      <c r="E10" s="20" t="n">
        <v>6.25</v>
      </c>
      <c r="F10" s="23" t="n">
        <v>1</v>
      </c>
    </row>
    <row r="11">
      <c r="A11" s="12" t="inlineStr">
        <is>
          <t>PWR</t>
        </is>
      </c>
      <c r="B11" s="13" t="n">
        <v>82161.75</v>
      </c>
      <c r="C11" s="13" t="n">
        <v>82161.75</v>
      </c>
      <c r="D11" s="19" t="n">
        <v>6.82</v>
      </c>
      <c r="E11" s="19" t="n">
        <v>5.92</v>
      </c>
      <c r="F11" s="25" t="n">
        <v>1</v>
      </c>
    </row>
    <row r="12">
      <c r="A12" s="10" t="inlineStr">
        <is>
          <t>NKE</t>
        </is>
      </c>
      <c r="B12" s="4" t="n">
        <v>82130.39999999999</v>
      </c>
      <c r="C12" s="22" t="n">
        <v>-82130.39999999999</v>
      </c>
      <c r="D12" s="20" t="n">
        <v>6.82</v>
      </c>
      <c r="E12" s="20" t="n">
        <v>5.92</v>
      </c>
      <c r="F12" s="23" t="n">
        <v>1</v>
      </c>
    </row>
    <row r="13">
      <c r="A13" s="12" t="inlineStr">
        <is>
          <t>FOXA</t>
        </is>
      </c>
      <c r="B13" s="13" t="n">
        <v>66363.63</v>
      </c>
      <c r="C13" s="18" t="n">
        <v>-66363.63</v>
      </c>
      <c r="D13" s="19" t="n">
        <v>5.51</v>
      </c>
      <c r="E13" s="19" t="n">
        <v>4.79</v>
      </c>
      <c r="F13" s="25" t="n">
        <v>1</v>
      </c>
    </row>
    <row r="14">
      <c r="A14" s="10" t="inlineStr">
        <is>
          <t>FOX</t>
        </is>
      </c>
      <c r="B14" s="4" t="n">
        <v>66050.95</v>
      </c>
      <c r="C14" s="22" t="n">
        <v>-66050.95</v>
      </c>
      <c r="D14" s="20" t="n">
        <v>5.48</v>
      </c>
      <c r="E14" s="20" t="n">
        <v>4.76</v>
      </c>
      <c r="F14" s="23" t="n">
        <v>1</v>
      </c>
    </row>
    <row r="15">
      <c r="A15" s="12" t="inlineStr">
        <is>
          <t>EFX</t>
        </is>
      </c>
      <c r="B15" s="13" t="n">
        <v>57402.34</v>
      </c>
      <c r="C15" s="18" t="n">
        <v>-57402.34</v>
      </c>
      <c r="D15" s="19" t="n">
        <v>4.77</v>
      </c>
      <c r="E15" s="19" t="n">
        <v>4.14</v>
      </c>
      <c r="F15" s="25" t="n">
        <v>1</v>
      </c>
    </row>
    <row r="18">
      <c r="A18" s="27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411857.95</v>
      </c>
      <c r="C20" s="4" t="n">
        <v>161169.07</v>
      </c>
      <c r="D20" s="4" t="n">
        <v>250688.88</v>
      </c>
      <c r="E20" s="7" t="n">
        <v>18.08</v>
      </c>
    </row>
    <row r="21">
      <c r="A21" s="12" t="inlineStr">
        <is>
          <t>realestate</t>
        </is>
      </c>
      <c r="B21" s="13" t="n">
        <v>227187.56</v>
      </c>
      <c r="C21" s="15" t="n">
        <v>0</v>
      </c>
      <c r="D21" s="13" t="n">
        <v>227187.56</v>
      </c>
      <c r="E21" s="17" t="n">
        <v>16.38</v>
      </c>
    </row>
    <row r="22">
      <c r="A22" s="10" t="inlineStr">
        <is>
          <t>industrial</t>
        </is>
      </c>
      <c r="B22" s="4" t="n">
        <v>257804.05</v>
      </c>
      <c r="C22" s="4" t="n">
        <v>57402.34</v>
      </c>
      <c r="D22" s="4" t="n">
        <v>200401.71</v>
      </c>
      <c r="E22" s="7" t="n">
        <v>14.45</v>
      </c>
    </row>
    <row r="23">
      <c r="A23" s="12" t="inlineStr">
        <is>
          <t>telecom</t>
        </is>
      </c>
      <c r="B23" s="15" t="n">
        <v>0</v>
      </c>
      <c r="C23" s="13" t="n">
        <v>132414.58</v>
      </c>
      <c r="D23" s="18" t="n">
        <v>-132414.58</v>
      </c>
      <c r="E23" s="17" t="n">
        <v>-9.550000000000001</v>
      </c>
    </row>
    <row r="24">
      <c r="A24" s="10" t="inlineStr">
        <is>
          <t>food</t>
        </is>
      </c>
      <c r="B24" s="11" t="n">
        <v>0</v>
      </c>
      <c r="C24" s="4" t="n">
        <v>82130.39999999999</v>
      </c>
      <c r="D24" s="22" t="n">
        <v>-82130.39999999999</v>
      </c>
      <c r="E24" s="7" t="n">
        <v>-5.92</v>
      </c>
    </row>
    <row r="25">
      <c r="A25" s="12" t="inlineStr">
        <is>
          <t>health</t>
        </is>
      </c>
      <c r="B25" s="15" t="n">
        <v>0</v>
      </c>
      <c r="C25" s="13" t="n">
        <v>56835.8</v>
      </c>
      <c r="D25" s="18" t="n">
        <v>-56835.8</v>
      </c>
      <c r="E25" s="17" t="n">
        <v>-4.1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1.765</v>
      </c>
    </row>
    <row r="4">
      <c r="A4" s="3" t="inlineStr">
        <is>
          <t>Gross beta</t>
        </is>
      </c>
      <c r="B4" s="5" t="n">
        <v>2.073</v>
      </c>
    </row>
    <row r="5">
      <c r="A5" s="3" t="inlineStr">
        <is>
          <t>Momentum factor net (% NAV)</t>
        </is>
      </c>
      <c r="B5" s="5" t="n">
        <v>33.78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7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0" t="n">
        <v>18.08</v>
      </c>
    </row>
    <row r="11">
      <c r="A11" s="12" t="inlineStr">
        <is>
          <t>realestate</t>
        </is>
      </c>
      <c r="B11" s="19" t="n">
        <v>16.38</v>
      </c>
    </row>
    <row r="12">
      <c r="A12" s="10" t="inlineStr">
        <is>
          <t>industrial</t>
        </is>
      </c>
      <c r="B12" s="20" t="n">
        <v>14.45</v>
      </c>
    </row>
    <row r="13">
      <c r="A13" s="12" t="inlineStr">
        <is>
          <t>telecom</t>
        </is>
      </c>
      <c r="B13" s="28" t="n">
        <v>-9.550000000000001</v>
      </c>
    </row>
    <row r="14">
      <c r="A14" s="10" t="inlineStr">
        <is>
          <t>food</t>
        </is>
      </c>
      <c r="B14" s="21" t="n">
        <v>-5.92</v>
      </c>
    </row>
    <row r="15">
      <c r="A15" s="12" t="inlineStr">
        <is>
          <t>health</t>
        </is>
      </c>
      <c r="B15" s="28" t="n">
        <v>-4.1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43452.04</v>
      </c>
    </row>
    <row r="4">
      <c r="A4" s="3" t="inlineStr">
        <is>
          <t>Parametric VaR 99% 1d ($)</t>
        </is>
      </c>
      <c r="B4" s="4" t="n">
        <v>61440.4</v>
      </c>
    </row>
    <row r="5">
      <c r="A5" s="3" t="inlineStr">
        <is>
          <t>Annual vol ($)</t>
        </is>
      </c>
      <c r="B5" s="4" t="n">
        <v>419319.04</v>
      </c>
    </row>
    <row r="6">
      <c r="A6" s="3" t="inlineStr">
        <is>
          <t>Annual vol (% NAV)</t>
        </is>
      </c>
      <c r="B6" s="5" t="n">
        <v>34.82</v>
      </c>
    </row>
    <row r="7">
      <c r="A7" s="3" t="inlineStr">
        <is>
          <t>Historical VaR 95% 1d ($)</t>
        </is>
      </c>
      <c r="B7" s="4" t="n">
        <v>39400.45</v>
      </c>
    </row>
    <row r="8">
      <c r="A8" s="3" t="inlineStr">
        <is>
          <t>Historical CVaR 95% 1d ($)</t>
        </is>
      </c>
      <c r="B8" s="4" t="n">
        <v>44314.45</v>
      </c>
    </row>
    <row r="10">
      <c r="A10" s="27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GLW/FOXA</t>
        </is>
      </c>
      <c r="B12" s="4" t="n">
        <v>10574.71</v>
      </c>
      <c r="C12" s="7" t="n">
        <v>24.34</v>
      </c>
    </row>
    <row r="13">
      <c r="A13" s="12" t="inlineStr">
        <is>
          <t>GLW/FOX</t>
        </is>
      </c>
      <c r="B13" s="13" t="n">
        <v>10568.35</v>
      </c>
      <c r="C13" s="17" t="n">
        <v>24.32</v>
      </c>
    </row>
    <row r="14">
      <c r="A14" s="10" t="inlineStr">
        <is>
          <t>CAT/ADBE</t>
        </is>
      </c>
      <c r="B14" s="4" t="n">
        <v>8244.370000000001</v>
      </c>
      <c r="C14" s="7" t="n">
        <v>18.97</v>
      </c>
    </row>
    <row r="15">
      <c r="A15" s="12" t="inlineStr">
        <is>
          <t>TER/ISRG</t>
        </is>
      </c>
      <c r="B15" s="13" t="n">
        <v>5331.58</v>
      </c>
      <c r="C15" s="17" t="n">
        <v>12.27</v>
      </c>
    </row>
    <row r="16">
      <c r="A16" s="10" t="inlineStr">
        <is>
          <t>PWR/NKE</t>
        </is>
      </c>
      <c r="B16" s="4" t="n">
        <v>3670.07</v>
      </c>
      <c r="C16" s="7" t="n">
        <v>8.449999999999999</v>
      </c>
    </row>
    <row r="17">
      <c r="A17" s="12" t="inlineStr">
        <is>
          <t>IRM/MSFT</t>
        </is>
      </c>
      <c r="B17" s="13" t="n">
        <v>2779.14</v>
      </c>
      <c r="C17" s="17" t="n">
        <v>6.4</v>
      </c>
    </row>
    <row r="18">
      <c r="A18" s="10" t="inlineStr">
        <is>
          <t>IRM/EFX</t>
        </is>
      </c>
      <c r="B18" s="4" t="n">
        <v>2283.83</v>
      </c>
      <c r="C18" s="7" t="n">
        <v>5.26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GLW</t>
        </is>
      </c>
      <c r="B6" s="7" t="inlineStr">
        <is>
          <t>GLW/FOX</t>
        </is>
      </c>
      <c r="C6" s="4" t="n">
        <v>636</v>
      </c>
      <c r="D6" s="4" t="n">
        <v>16732885</v>
      </c>
      <c r="E6" s="7" t="n">
        <v>0</v>
      </c>
    </row>
    <row r="7">
      <c r="A7" s="12" t="inlineStr">
        <is>
          <t>FOX</t>
        </is>
      </c>
      <c r="B7" s="17" t="inlineStr">
        <is>
          <t>GLW/FOX</t>
        </is>
      </c>
      <c r="C7" s="13" t="n">
        <v>1445</v>
      </c>
      <c r="D7" s="13" t="n">
        <v>2647690</v>
      </c>
      <c r="E7" s="17" t="n">
        <v>0</v>
      </c>
    </row>
    <row r="8">
      <c r="A8" s="10" t="inlineStr">
        <is>
          <t>IRM</t>
        </is>
      </c>
      <c r="B8" s="7" t="inlineStr">
        <is>
          <t>IRM/EFX</t>
        </is>
      </c>
      <c r="C8" s="4" t="n">
        <v>874</v>
      </c>
      <c r="D8" s="4" t="n">
        <v>1550167</v>
      </c>
      <c r="E8" s="7" t="n">
        <v>0</v>
      </c>
    </row>
    <row r="9">
      <c r="A9" s="12" t="inlineStr">
        <is>
          <t>EFX</t>
        </is>
      </c>
      <c r="B9" s="17" t="inlineStr">
        <is>
          <t>IRM/EFX</t>
        </is>
      </c>
      <c r="C9" s="13" t="n">
        <v>362</v>
      </c>
      <c r="D9" s="13" t="n">
        <v>1933059</v>
      </c>
      <c r="E9" s="17" t="n">
        <v>0</v>
      </c>
    </row>
    <row r="10">
      <c r="A10" s="10" t="inlineStr">
        <is>
          <t>TER</t>
        </is>
      </c>
      <c r="B10" s="7" t="inlineStr">
        <is>
          <t>TER/ISRG</t>
        </is>
      </c>
      <c r="C10" s="4" t="n">
        <v>187</v>
      </c>
      <c r="D10" s="4" t="n">
        <v>5354109</v>
      </c>
      <c r="E10" s="7" t="n">
        <v>0</v>
      </c>
    </row>
    <row r="11">
      <c r="A11" s="12" t="inlineStr">
        <is>
          <t>ISRG</t>
        </is>
      </c>
      <c r="B11" s="17" t="inlineStr">
        <is>
          <t>TER/ISRG</t>
        </is>
      </c>
      <c r="C11" s="13" t="n">
        <v>140</v>
      </c>
      <c r="D11" s="13" t="n">
        <v>2625779</v>
      </c>
      <c r="E11" s="17" t="n">
        <v>0</v>
      </c>
    </row>
    <row r="12">
      <c r="A12" s="10" t="inlineStr">
        <is>
          <t>PWR</t>
        </is>
      </c>
      <c r="B12" s="7" t="inlineStr">
        <is>
          <t>PWR/NKE</t>
        </is>
      </c>
      <c r="C12" s="4" t="n">
        <v>115</v>
      </c>
      <c r="D12" s="4" t="n">
        <v>1480535</v>
      </c>
      <c r="E12" s="7" t="n">
        <v>0</v>
      </c>
    </row>
    <row r="13">
      <c r="A13" s="12" t="inlineStr">
        <is>
          <t>NKE</t>
        </is>
      </c>
      <c r="B13" s="17" t="inlineStr">
        <is>
          <t>PWR/NKE</t>
        </is>
      </c>
      <c r="C13" s="13" t="n">
        <v>1980</v>
      </c>
      <c r="D13" s="13" t="n">
        <v>23413300</v>
      </c>
      <c r="E13" s="17" t="n">
        <v>0</v>
      </c>
    </row>
    <row r="14">
      <c r="A14" s="10" t="inlineStr">
        <is>
          <t>IRM</t>
        </is>
      </c>
      <c r="B14" s="7" t="inlineStr">
        <is>
          <t>IRM/MSFT</t>
        </is>
      </c>
      <c r="C14" s="4" t="n">
        <v>874</v>
      </c>
      <c r="D14" s="4" t="n">
        <v>1550167</v>
      </c>
      <c r="E14" s="7" t="n">
        <v>0</v>
      </c>
    </row>
    <row r="15">
      <c r="A15" s="12" t="inlineStr">
        <is>
          <t>MSFT</t>
        </is>
      </c>
      <c r="B15" s="17" t="inlineStr">
        <is>
          <t>IRM/MSFT</t>
        </is>
      </c>
      <c r="C15" s="13" t="n">
        <v>155</v>
      </c>
      <c r="D15" s="13" t="n">
        <v>48667855</v>
      </c>
      <c r="E15" s="17" t="n">
        <v>0</v>
      </c>
    </row>
    <row r="16">
      <c r="A16" s="10" t="inlineStr">
        <is>
          <t>GLW</t>
        </is>
      </c>
      <c r="B16" s="7" t="inlineStr">
        <is>
          <t>GLW/FOXA</t>
        </is>
      </c>
      <c r="C16" s="4" t="n">
        <v>636</v>
      </c>
      <c r="D16" s="4" t="n">
        <v>16732885</v>
      </c>
      <c r="E16" s="7" t="n">
        <v>0</v>
      </c>
    </row>
    <row r="17">
      <c r="A17" s="12" t="inlineStr">
        <is>
          <t>FOXA</t>
        </is>
      </c>
      <c r="B17" s="17" t="inlineStr">
        <is>
          <t>GLW/FOXA</t>
        </is>
      </c>
      <c r="C17" s="13" t="n">
        <v>1317</v>
      </c>
      <c r="D17" s="13" t="n">
        <v>9024213</v>
      </c>
      <c r="E17" s="17" t="n">
        <v>0</v>
      </c>
    </row>
    <row r="18">
      <c r="A18" s="10" t="inlineStr">
        <is>
          <t>CAT</t>
        </is>
      </c>
      <c r="B18" s="7" t="inlineStr">
        <is>
          <t>CAT/ADBE</t>
        </is>
      </c>
      <c r="C18" s="4" t="n">
        <v>170</v>
      </c>
      <c r="D18" s="4" t="n">
        <v>3819347</v>
      </c>
      <c r="E18" s="7" t="n">
        <v>0</v>
      </c>
    </row>
    <row r="19">
      <c r="A19" s="12" t="inlineStr">
        <is>
          <t>ADBE</t>
        </is>
      </c>
      <c r="B19" s="17" t="inlineStr">
        <is>
          <t>CAT/ADBE</t>
        </is>
      </c>
      <c r="C19" s="13" t="n">
        <v>504</v>
      </c>
      <c r="D19" s="13" t="n">
        <v>8914792</v>
      </c>
      <c r="E19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22" t="n">
        <v>-106287.55</v>
      </c>
      <c r="C4" s="21" t="n">
        <v>-8.82</v>
      </c>
    </row>
    <row r="5">
      <c r="A5" s="12" t="inlineStr">
        <is>
          <t>SPY -10%</t>
        </is>
      </c>
      <c r="B5" s="18" t="n">
        <v>-212575.11</v>
      </c>
      <c r="C5" s="28" t="n">
        <v>-17.65</v>
      </c>
    </row>
    <row r="6">
      <c r="A6" s="10" t="inlineStr">
        <is>
          <t>VIX +10pt</t>
        </is>
      </c>
      <c r="B6" s="22" t="n">
        <v>-106287.55</v>
      </c>
      <c r="C6" s="21" t="n">
        <v>-8.82</v>
      </c>
    </row>
    <row r="7">
      <c r="A7" s="12" t="inlineStr">
        <is>
          <t>Top sector -10%</t>
        </is>
      </c>
      <c r="B7" s="18" t="n">
        <v>-25068.89</v>
      </c>
      <c r="C7" s="28" t="n">
        <v>-2.08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2.21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0.65</v>
      </c>
      <c r="D7" s="32" t="n">
        <v>0.5</v>
      </c>
      <c r="E7" s="32" t="n">
        <v>1</v>
      </c>
      <c r="F7" s="32" t="inlineStr">
        <is>
          <t>amber</t>
        </is>
      </c>
    </row>
    <row r="8">
      <c r="A8" s="33" t="inlineStr">
        <is>
          <t>single_name_gross</t>
        </is>
      </c>
      <c r="B8" s="34" t="inlineStr">
        <is>
          <t>GLW</t>
        </is>
      </c>
      <c r="C8" s="34" t="n">
        <v>27</v>
      </c>
      <c r="D8" s="34" t="n">
        <v>15</v>
      </c>
      <c r="E8" s="34" t="n">
        <v>25</v>
      </c>
      <c r="F8" s="34" t="inlineStr">
        <is>
          <t>red</t>
        </is>
      </c>
    </row>
    <row r="9">
      <c r="A9" s="31" t="inlineStr">
        <is>
          <t>single_name_gross</t>
        </is>
      </c>
      <c r="B9" s="32" t="inlineStr">
        <is>
          <t>IRM</t>
        </is>
      </c>
      <c r="C9" s="32" t="n">
        <v>18.86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29" t="inlineStr">
        <is>
          <t>single_name_gross</t>
        </is>
      </c>
      <c r="B10" s="30" t="inlineStr">
        <is>
          <t>CAT</t>
        </is>
      </c>
      <c r="C10" s="30" t="n">
        <v>14.58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tech</t>
        </is>
      </c>
      <c r="C11" s="30" t="n">
        <v>18.08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20.17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1.76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3.61</v>
      </c>
      <c r="D14" s="32" t="n">
        <v>3</v>
      </c>
      <c r="E14" s="32" t="n">
        <v>5</v>
      </c>
      <c r="F14" s="32" t="inlineStr">
        <is>
          <t>amber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7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MTFS</t>
        </is>
      </c>
      <c r="B4" s="17" t="inlineStr">
        <is>
          <t>GLW/FOX</t>
        </is>
      </c>
      <c r="C4" s="17" t="inlineStr">
        <is>
          <t>GLW</t>
        </is>
      </c>
      <c r="D4" s="17" t="inlineStr">
        <is>
          <t>long</t>
        </is>
      </c>
      <c r="E4" s="25" t="n">
        <v>636</v>
      </c>
      <c r="F4" s="13" t="n">
        <v>255.69</v>
      </c>
      <c r="G4" s="13" t="n">
        <v>162618.84</v>
      </c>
      <c r="H4" s="17" t="inlineStr">
        <is>
          <t>tech</t>
        </is>
      </c>
      <c r="I4" s="17" t="n">
        <v>1</v>
      </c>
      <c r="J4" s="17" t="inlineStr">
        <is>
          <t>monthly_aligned_windows</t>
        </is>
      </c>
    </row>
    <row r="5">
      <c r="A5" s="10" t="inlineStr">
        <is>
          <t>MTFS</t>
        </is>
      </c>
      <c r="B5" s="7" t="inlineStr">
        <is>
          <t>GLW/FOX</t>
        </is>
      </c>
      <c r="C5" s="7" t="inlineStr">
        <is>
          <t>FOX</t>
        </is>
      </c>
      <c r="D5" s="7" t="inlineStr">
        <is>
          <t>short</t>
        </is>
      </c>
      <c r="E5" s="23" t="n">
        <v>-1445</v>
      </c>
      <c r="F5" s="11" t="n">
        <v>45.71</v>
      </c>
      <c r="G5" s="22" t="n">
        <v>-66050.95</v>
      </c>
      <c r="H5" s="7" t="inlineStr">
        <is>
          <t>telecom</t>
        </is>
      </c>
      <c r="I5" s="7" t="n">
        <v>1</v>
      </c>
      <c r="J5" s="7" t="inlineStr">
        <is>
          <t>monthly_aligned_windows</t>
        </is>
      </c>
    </row>
    <row r="6">
      <c r="A6" s="12" t="inlineStr">
        <is>
          <t>MTFS</t>
        </is>
      </c>
      <c r="B6" s="17" t="inlineStr">
        <is>
          <t>IRM/EFX</t>
        </is>
      </c>
      <c r="C6" s="17" t="inlineStr">
        <is>
          <t>IRM</t>
        </is>
      </c>
      <c r="D6" s="17" t="inlineStr">
        <is>
          <t>long</t>
        </is>
      </c>
      <c r="E6" s="25" t="n">
        <v>874</v>
      </c>
      <c r="F6" s="13" t="n">
        <v>129.97</v>
      </c>
      <c r="G6" s="13" t="n">
        <v>113593.78</v>
      </c>
      <c r="H6" s="17" t="inlineStr">
        <is>
          <t>realestate</t>
        </is>
      </c>
      <c r="I6" s="17" t="n">
        <v>0</v>
      </c>
      <c r="J6" s="17" t="inlineStr">
        <is>
          <t>raw_momentum_kalman</t>
        </is>
      </c>
    </row>
    <row r="7">
      <c r="A7" s="10" t="inlineStr">
        <is>
          <t>MTFS</t>
        </is>
      </c>
      <c r="B7" s="7" t="inlineStr">
        <is>
          <t>IRM/EFX</t>
        </is>
      </c>
      <c r="C7" s="7" t="inlineStr">
        <is>
          <t>EFX</t>
        </is>
      </c>
      <c r="D7" s="7" t="inlineStr">
        <is>
          <t>short</t>
        </is>
      </c>
      <c r="E7" s="23" t="n">
        <v>-362</v>
      </c>
      <c r="F7" s="4" t="n">
        <v>158.57</v>
      </c>
      <c r="G7" s="22" t="n">
        <v>-57402.34</v>
      </c>
      <c r="H7" s="7" t="inlineStr">
        <is>
          <t>industrial</t>
        </is>
      </c>
      <c r="I7" s="7" t="n">
        <v>0</v>
      </c>
      <c r="J7" s="7" t="inlineStr">
        <is>
          <t>raw_momentum_kalman</t>
        </is>
      </c>
    </row>
    <row r="8">
      <c r="A8" s="12" t="inlineStr">
        <is>
          <t>MTFS</t>
        </is>
      </c>
      <c r="B8" s="17" t="inlineStr">
        <is>
          <t>TER/ISRG</t>
        </is>
      </c>
      <c r="C8" s="17" t="inlineStr">
        <is>
          <t>TER</t>
        </is>
      </c>
      <c r="D8" s="17" t="inlineStr">
        <is>
          <t>long</t>
        </is>
      </c>
      <c r="E8" s="25" t="n">
        <v>187</v>
      </c>
      <c r="F8" s="13" t="n">
        <v>463.21</v>
      </c>
      <c r="G8" s="13" t="n">
        <v>86620.27</v>
      </c>
      <c r="H8" s="17" t="inlineStr">
        <is>
          <t>tech</t>
        </is>
      </c>
      <c r="I8" s="17" t="n">
        <v>1</v>
      </c>
      <c r="J8" s="17" t="inlineStr">
        <is>
          <t>long_term_kalman</t>
        </is>
      </c>
    </row>
    <row r="9">
      <c r="A9" s="10" t="inlineStr">
        <is>
          <t>MTFS</t>
        </is>
      </c>
      <c r="B9" s="7" t="inlineStr">
        <is>
          <t>TER/ISRG</t>
        </is>
      </c>
      <c r="C9" s="7" t="inlineStr">
        <is>
          <t>ISRG</t>
        </is>
      </c>
      <c r="D9" s="7" t="inlineStr">
        <is>
          <t>short</t>
        </is>
      </c>
      <c r="E9" s="23" t="n">
        <v>-140</v>
      </c>
      <c r="F9" s="4" t="n">
        <v>405.97</v>
      </c>
      <c r="G9" s="22" t="n">
        <v>-56835.8</v>
      </c>
      <c r="H9" s="7" t="inlineStr">
        <is>
          <t>health</t>
        </is>
      </c>
      <c r="I9" s="7" t="n">
        <v>1</v>
      </c>
      <c r="J9" s="7" t="inlineStr">
        <is>
          <t>long_term_kalman</t>
        </is>
      </c>
    </row>
    <row r="10">
      <c r="A10" s="12" t="inlineStr">
        <is>
          <t>MTFS</t>
        </is>
      </c>
      <c r="B10" s="17" t="inlineStr">
        <is>
          <t>PWR/NKE</t>
        </is>
      </c>
      <c r="C10" s="17" t="inlineStr">
        <is>
          <t>PWR</t>
        </is>
      </c>
      <c r="D10" s="17" t="inlineStr">
        <is>
          <t>long</t>
        </is>
      </c>
      <c r="E10" s="25" t="n">
        <v>115</v>
      </c>
      <c r="F10" s="13" t="n">
        <v>714.45</v>
      </c>
      <c r="G10" s="13" t="n">
        <v>82161.75</v>
      </c>
      <c r="H10" s="17" t="inlineStr">
        <is>
          <t>industrial</t>
        </is>
      </c>
      <c r="I10" s="17" t="n">
        <v>0</v>
      </c>
      <c r="J10" s="17" t="inlineStr">
        <is>
          <t>aggressive</t>
        </is>
      </c>
    </row>
    <row r="11">
      <c r="A11" s="10" t="inlineStr">
        <is>
          <t>MTFS</t>
        </is>
      </c>
      <c r="B11" s="7" t="inlineStr">
        <is>
          <t>PWR/NKE</t>
        </is>
      </c>
      <c r="C11" s="7" t="inlineStr">
        <is>
          <t>NKE</t>
        </is>
      </c>
      <c r="D11" s="7" t="inlineStr">
        <is>
          <t>short</t>
        </is>
      </c>
      <c r="E11" s="23" t="n">
        <v>-1980</v>
      </c>
      <c r="F11" s="11" t="n">
        <v>41.48</v>
      </c>
      <c r="G11" s="22" t="n">
        <v>-82130.39999999999</v>
      </c>
      <c r="H11" s="7" t="inlineStr">
        <is>
          <t>food</t>
        </is>
      </c>
      <c r="I11" s="7" t="n">
        <v>0</v>
      </c>
      <c r="J11" s="7" t="inlineStr">
        <is>
          <t>aggressive</t>
        </is>
      </c>
    </row>
    <row r="12">
      <c r="A12" s="12" t="inlineStr">
        <is>
          <t>MTFS</t>
        </is>
      </c>
      <c r="B12" s="17" t="inlineStr">
        <is>
          <t>IRM/MSFT</t>
        </is>
      </c>
      <c r="C12" s="17" t="inlineStr">
        <is>
          <t>IRM</t>
        </is>
      </c>
      <c r="D12" s="17" t="inlineStr">
        <is>
          <t>long</t>
        </is>
      </c>
      <c r="E12" s="25" t="n">
        <v>874</v>
      </c>
      <c r="F12" s="13" t="n">
        <v>129.97</v>
      </c>
      <c r="G12" s="13" t="n">
        <v>113593.78</v>
      </c>
      <c r="H12" s="17" t="inlineStr">
        <is>
          <t>realestate</t>
        </is>
      </c>
      <c r="I12" s="17" t="n">
        <v>1</v>
      </c>
      <c r="J12" s="17" t="inlineStr">
        <is>
          <t>fast_rebalance</t>
        </is>
      </c>
    </row>
    <row r="13">
      <c r="A13" s="10" t="inlineStr">
        <is>
          <t>MTFS</t>
        </is>
      </c>
      <c r="B13" s="7" t="inlineStr">
        <is>
          <t>IRM/MSFT</t>
        </is>
      </c>
      <c r="C13" s="7" t="inlineStr">
        <is>
          <t>MSFT</t>
        </is>
      </c>
      <c r="D13" s="7" t="inlineStr">
        <is>
          <t>short</t>
        </is>
      </c>
      <c r="E13" s="23" t="n">
        <v>-155</v>
      </c>
      <c r="F13" s="4" t="n">
        <v>368.57</v>
      </c>
      <c r="G13" s="22" t="n">
        <v>-57128.35</v>
      </c>
      <c r="H13" s="7" t="inlineStr">
        <is>
          <t>tech</t>
        </is>
      </c>
      <c r="I13" s="7" t="n">
        <v>1</v>
      </c>
      <c r="J13" s="7" t="inlineStr">
        <is>
          <t>fast_rebalance</t>
        </is>
      </c>
    </row>
    <row r="14">
      <c r="A14" s="12" t="inlineStr">
        <is>
          <t>MTFS</t>
        </is>
      </c>
      <c r="B14" s="17" t="inlineStr">
        <is>
          <t>GLW/FOXA</t>
        </is>
      </c>
      <c r="C14" s="17" t="inlineStr">
        <is>
          <t>GLW</t>
        </is>
      </c>
      <c r="D14" s="17" t="inlineStr">
        <is>
          <t>long</t>
        </is>
      </c>
      <c r="E14" s="25" t="n">
        <v>636</v>
      </c>
      <c r="F14" s="13" t="n">
        <v>255.69</v>
      </c>
      <c r="G14" s="13" t="n">
        <v>162618.84</v>
      </c>
      <c r="H14" s="17" t="inlineStr">
        <is>
          <t>tech</t>
        </is>
      </c>
      <c r="I14" s="17" t="n">
        <v>1</v>
      </c>
      <c r="J14" s="17" t="inlineStr">
        <is>
          <t>monthly_aligned_windows</t>
        </is>
      </c>
    </row>
    <row r="15">
      <c r="A15" s="10" t="inlineStr">
        <is>
          <t>MTFS</t>
        </is>
      </c>
      <c r="B15" s="7" t="inlineStr">
        <is>
          <t>GLW/FOXA</t>
        </is>
      </c>
      <c r="C15" s="7" t="inlineStr">
        <is>
          <t>FOXA</t>
        </is>
      </c>
      <c r="D15" s="7" t="inlineStr">
        <is>
          <t>short</t>
        </is>
      </c>
      <c r="E15" s="23" t="n">
        <v>-1317</v>
      </c>
      <c r="F15" s="11" t="n">
        <v>50.39</v>
      </c>
      <c r="G15" s="22" t="n">
        <v>-66363.63</v>
      </c>
      <c r="H15" s="7" t="inlineStr">
        <is>
          <t>telecom</t>
        </is>
      </c>
      <c r="I15" s="7" t="n">
        <v>1</v>
      </c>
      <c r="J15" s="7" t="inlineStr">
        <is>
          <t>monthly_aligned_windows</t>
        </is>
      </c>
    </row>
    <row r="16">
      <c r="A16" s="12" t="inlineStr">
        <is>
          <t>MTFS</t>
        </is>
      </c>
      <c r="B16" s="17" t="inlineStr">
        <is>
          <t>CAT/ADBE</t>
        </is>
      </c>
      <c r="C16" s="17" t="inlineStr">
        <is>
          <t>CAT</t>
        </is>
      </c>
      <c r="D16" s="17" t="inlineStr">
        <is>
          <t>long</t>
        </is>
      </c>
      <c r="E16" s="25" t="n">
        <v>170</v>
      </c>
      <c r="F16" s="13" t="n">
        <v>1033.19</v>
      </c>
      <c r="G16" s="13" t="n">
        <v>175642.3</v>
      </c>
      <c r="H16" s="17" t="inlineStr">
        <is>
          <t>industrial</t>
        </is>
      </c>
      <c r="I16" s="17" t="n">
        <v>0</v>
      </c>
      <c r="J16" s="17" t="inlineStr">
        <is>
          <t>aggressive</t>
        </is>
      </c>
    </row>
    <row r="17">
      <c r="A17" s="10" t="inlineStr">
        <is>
          <t>MTFS</t>
        </is>
      </c>
      <c r="B17" s="7" t="inlineStr">
        <is>
          <t>CAT/ADBE</t>
        </is>
      </c>
      <c r="C17" s="7" t="inlineStr">
        <is>
          <t>ADBE</t>
        </is>
      </c>
      <c r="D17" s="7" t="inlineStr">
        <is>
          <t>short</t>
        </is>
      </c>
      <c r="E17" s="23" t="n">
        <v>-504</v>
      </c>
      <c r="F17" s="4" t="n">
        <v>206.43</v>
      </c>
      <c r="G17" s="22" t="n">
        <v>-104040.72</v>
      </c>
      <c r="H17" s="7" t="inlineStr">
        <is>
          <t>tech</t>
        </is>
      </c>
      <c r="I17" s="7" t="n">
        <v>0</v>
      </c>
      <c r="J17" s="7" t="inlineStr">
        <is>
          <t>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MTFS</t>
        </is>
      </c>
      <c r="B4" s="17" t="inlineStr">
        <is>
          <t>GLW/FOX</t>
        </is>
      </c>
      <c r="C4" s="13" t="n">
        <v>31219.66</v>
      </c>
      <c r="D4" s="13" t="n">
        <v>228669.79</v>
      </c>
      <c r="E4" s="17" t="n">
        <v>1</v>
      </c>
      <c r="F4" s="17" t="inlineStr">
        <is>
          <t>monthly_aligned_windows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IRM/EFX</t>
        </is>
      </c>
      <c r="C5" s="22" t="n">
        <v>-3490.82</v>
      </c>
      <c r="D5" s="4" t="n">
        <v>170996.12</v>
      </c>
      <c r="E5" s="7" t="n">
        <v>0</v>
      </c>
      <c r="F5" s="7" t="inlineStr">
        <is>
          <t>raw_momentum_kalman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TER/ISRG</t>
        </is>
      </c>
      <c r="C6" s="13" t="n">
        <v>738.47</v>
      </c>
      <c r="D6" s="13" t="n">
        <v>143456.07</v>
      </c>
      <c r="E6" s="17" t="n">
        <v>1</v>
      </c>
      <c r="F6" s="17" t="inlineStr">
        <is>
          <t>long_term_kalman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PWR/NKE</t>
        </is>
      </c>
      <c r="C7" s="4" t="n">
        <v>431.45</v>
      </c>
      <c r="D7" s="4" t="n">
        <v>164292.15</v>
      </c>
      <c r="E7" s="7" t="n">
        <v>0</v>
      </c>
      <c r="F7" s="7" t="inlineStr">
        <is>
          <t>aggressive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IRM/MSFT</t>
        </is>
      </c>
      <c r="C8" s="18" t="n">
        <v>-1842.51</v>
      </c>
      <c r="D8" s="13" t="n">
        <v>170722.13</v>
      </c>
      <c r="E8" s="17" t="n">
        <v>1</v>
      </c>
      <c r="F8" s="17" t="inlineStr">
        <is>
          <t>fast_rebalance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GLW/FOXA</t>
        </is>
      </c>
      <c r="C9" s="4" t="n">
        <v>30933.93</v>
      </c>
      <c r="D9" s="4" t="n">
        <v>228982.47</v>
      </c>
      <c r="E9" s="7" t="n">
        <v>1</v>
      </c>
      <c r="F9" s="7" t="inlineStr">
        <is>
          <t>monthly_aligned_windows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CAT/ADBE</t>
        </is>
      </c>
      <c r="C10" s="13" t="n">
        <v>4207.6</v>
      </c>
      <c r="D10" s="13" t="n">
        <v>279683.02</v>
      </c>
      <c r="E10" s="17" t="n">
        <v>0</v>
      </c>
      <c r="F10" s="17" t="inlineStr">
        <is>
          <t>aggressive</t>
        </is>
      </c>
      <c r="G10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2026-06-29</t>
        </is>
      </c>
      <c r="C4" s="7" t="inlineStr">
        <is>
          <t>2026-06-29</t>
        </is>
      </c>
    </row>
    <row r="5">
      <c r="A5" s="12" t="inlineStr">
        <is>
          <t>T_1D</t>
        </is>
      </c>
      <c r="B5" s="17" t="inlineStr">
        <is>
          <t>2026-06-26</t>
        </is>
      </c>
      <c r="C5" s="17" t="inlineStr">
        <is>
          <t>2026-06-26</t>
        </is>
      </c>
    </row>
    <row r="6">
      <c r="A6" s="10" t="inlineStr">
        <is>
          <t>T_1W</t>
        </is>
      </c>
      <c r="B6" s="7" t="inlineStr">
        <is>
          <t>2026-06-22</t>
        </is>
      </c>
      <c r="C6" s="7" t="inlineStr">
        <is>
          <t>2026-06-22</t>
        </is>
      </c>
    </row>
    <row r="7">
      <c r="A7" s="12" t="inlineStr">
        <is>
          <t>T_1M</t>
        </is>
      </c>
      <c r="B7" s="17" t="inlineStr">
        <is>
          <t>2026-05-29</t>
        </is>
      </c>
      <c r="C7" s="17" t="inlineStr">
        <is>
          <t>2026-05-29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7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12.91</v>
      </c>
      <c r="C6" s="7" t="n">
        <v>0.41</v>
      </c>
      <c r="D6" s="7" t="n">
        <v>25</v>
      </c>
      <c r="E6" s="21" t="n">
        <v>-12.5</v>
      </c>
    </row>
    <row r="7">
      <c r="A7" s="12" t="inlineStr">
        <is>
          <t>MTFS</t>
        </is>
      </c>
      <c r="B7" s="17" t="n">
        <v>14.12</v>
      </c>
      <c r="C7" s="17" t="n">
        <v>24.12</v>
      </c>
      <c r="D7" s="17" t="n">
        <v>25</v>
      </c>
      <c r="E7" s="19" t="n">
        <v>10</v>
      </c>
    </row>
    <row r="8">
      <c r="A8" s="10" t="inlineStr">
        <is>
          <t>SSRS</t>
        </is>
      </c>
      <c r="B8" s="7" t="n">
        <v>21.73</v>
      </c>
      <c r="C8" s="7" t="n">
        <v>1.96</v>
      </c>
      <c r="D8" s="7" t="n">
        <v>25</v>
      </c>
      <c r="E8" s="21" t="n">
        <v>-19.77</v>
      </c>
    </row>
    <row r="9">
      <c r="A9" s="12" t="inlineStr">
        <is>
          <t>AISS</t>
        </is>
      </c>
      <c r="B9" s="17" t="n">
        <v>51.23</v>
      </c>
      <c r="C9" s="17" t="n">
        <v>73.51000000000001</v>
      </c>
      <c r="D9" s="17" t="n">
        <v>25</v>
      </c>
      <c r="E9" s="19" t="n">
        <v>22.27</v>
      </c>
    </row>
    <row r="11">
      <c r="A11" s="27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GLW/FOXA</t>
        </is>
      </c>
      <c r="B13" s="7" t="n">
        <v>24.34</v>
      </c>
    </row>
    <row r="14">
      <c r="A14" s="12" t="inlineStr">
        <is>
          <t>GLW/FOX</t>
        </is>
      </c>
      <c r="B14" s="17" t="n">
        <v>24.32</v>
      </c>
    </row>
    <row r="15">
      <c r="A15" s="10" t="inlineStr">
        <is>
          <t>CAT/ADBE</t>
        </is>
      </c>
      <c r="B15" s="7" t="n">
        <v>18.97</v>
      </c>
    </row>
    <row r="16">
      <c r="A16" s="12" t="inlineStr">
        <is>
          <t>TER/ISRG</t>
        </is>
      </c>
      <c r="B16" s="17" t="n">
        <v>12.27</v>
      </c>
    </row>
    <row r="17">
      <c r="A17" s="10" t="inlineStr">
        <is>
          <t>PWR/NKE</t>
        </is>
      </c>
      <c r="B17" s="7" t="n">
        <v>8.449999999999999</v>
      </c>
    </row>
    <row r="18">
      <c r="A18" s="12" t="inlineStr">
        <is>
          <t>IRM/MSFT</t>
        </is>
      </c>
      <c r="B18" s="17" t="n">
        <v>6.4</v>
      </c>
    </row>
    <row r="19">
      <c r="A19" s="10" t="inlineStr">
        <is>
          <t>IRM/EFX</t>
        </is>
      </c>
      <c r="B19" s="7" t="n">
        <v>5.26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0" t="n">
        <v>38.84</v>
      </c>
      <c r="C5" s="7" t="n">
        <v>2.59</v>
      </c>
      <c r="D5" s="7" t="n">
        <v>0.07099999999999999</v>
      </c>
      <c r="E5" s="7" t="n">
        <v>116</v>
      </c>
      <c r="F5" s="7" t="inlineStr">
        <is>
          <t>0.004 (t=0.04)</t>
        </is>
      </c>
      <c r="G5" s="7" t="inlineStr">
        <is>
          <t>-0.077 (t=-0.56)</t>
        </is>
      </c>
      <c r="H5" s="7" t="inlineStr">
        <is>
          <t>0.074 (t=0.61)</t>
        </is>
      </c>
      <c r="I5" s="7" t="inlineStr">
        <is>
          <t>0.094 (t=0.83)</t>
        </is>
      </c>
      <c r="J5" s="7" t="inlineStr">
        <is>
          <t>-0.109 (t=-0.61)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19" t="n">
        <v>46.09</v>
      </c>
      <c r="C6" s="17" t="n">
        <v>1.83</v>
      </c>
      <c r="D6" s="17" t="n">
        <v>0.06</v>
      </c>
      <c r="E6" s="17" t="n">
        <v>116</v>
      </c>
      <c r="F6" s="17" t="inlineStr">
        <is>
          <t>0.073 (t=0.49)</t>
        </is>
      </c>
      <c r="G6" s="17" t="inlineStr">
        <is>
          <t>-0.136 (t=-0.59)</t>
        </is>
      </c>
      <c r="H6" s="17" t="inlineStr">
        <is>
          <t>-0.054 (t=-0.27)</t>
        </is>
      </c>
      <c r="I6" s="17" t="inlineStr">
        <is>
          <t>0.257 (t=1.35)</t>
        </is>
      </c>
      <c r="J6" s="17" t="inlineStr">
        <is>
          <t>-0.214 (t=-0.71)</t>
        </is>
      </c>
      <c r="K6" s="17" t="inlineStr">
        <is>
          <t>-0.145 (t=-1.35)</t>
        </is>
      </c>
    </row>
    <row r="7">
      <c r="A7" s="10" t="inlineStr">
        <is>
          <t>MTFS</t>
        </is>
      </c>
      <c r="B7" s="20" t="n">
        <v>31.35</v>
      </c>
      <c r="C7" s="7" t="n">
        <v>1.04</v>
      </c>
      <c r="D7" s="7" t="n">
        <v>0.033</v>
      </c>
      <c r="E7" s="7" t="n">
        <v>116</v>
      </c>
      <c r="F7" s="7" t="inlineStr">
        <is>
          <t>-0.092 (t=-0.52)</t>
        </is>
      </c>
      <c r="G7" s="7" t="inlineStr">
        <is>
          <t>0.024 (t=0.09)</t>
        </is>
      </c>
      <c r="H7" s="7" t="inlineStr">
        <is>
          <t>0.227 (t=0.94)</t>
        </is>
      </c>
      <c r="I7" s="7" t="inlineStr">
        <is>
          <t>-0.124 (t=-0.55)</t>
        </is>
      </c>
      <c r="J7" s="7" t="inlineStr">
        <is>
          <t>0.031 (t=0.09)</t>
        </is>
      </c>
      <c r="K7" s="7" t="inlineStr">
        <is>
          <t>-0.06 (t=-0.47)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0.83</v>
      </c>
      <c r="C4" s="7" t="n">
        <v>14.364</v>
      </c>
      <c r="D4" s="7" t="n">
        <v>0</v>
      </c>
      <c r="E4" s="7" t="b">
        <v>1</v>
      </c>
      <c r="F4" s="7" t="n">
        <v>2.619</v>
      </c>
      <c r="G4" s="7" t="n">
        <v>2.619</v>
      </c>
      <c r="H4" s="7" t="n">
        <v>0</v>
      </c>
    </row>
    <row r="5">
      <c r="A5" s="12" t="inlineStr">
        <is>
          <t>MRPT</t>
        </is>
      </c>
      <c r="B5" s="17" t="n">
        <v>-0.68</v>
      </c>
      <c r="C5" s="17" t="n">
        <v>3.93</v>
      </c>
      <c r="D5" s="17" t="n">
        <v>0</v>
      </c>
      <c r="E5" s="17" t="b">
        <v>1</v>
      </c>
      <c r="F5" s="17" t="n">
        <v>1.576</v>
      </c>
      <c r="G5" s="17" t="n">
        <v>1.682</v>
      </c>
      <c r="H5" s="17" t="n">
        <v>0.106</v>
      </c>
    </row>
    <row r="6">
      <c r="A6" s="10" t="inlineStr">
        <is>
          <t>MTFS</t>
        </is>
      </c>
      <c r="B6" s="7" t="n">
        <v>1.627</v>
      </c>
      <c r="C6" s="7" t="n">
        <v>16.595</v>
      </c>
      <c r="D6" s="7" t="n">
        <v>0</v>
      </c>
      <c r="E6" s="7" t="b">
        <v>1</v>
      </c>
      <c r="F6" s="7" t="n">
        <v>5.518</v>
      </c>
      <c r="G6" s="7" t="n">
        <v>5.518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1.659</v>
      </c>
      <c r="C9" s="7" t="n">
        <v>0.9135</v>
      </c>
      <c r="D9" s="7" t="n">
        <v>238</v>
      </c>
      <c r="E9" s="7" t="n">
        <v>8.710000000000001</v>
      </c>
      <c r="F9" s="7" t="n">
        <v>9.5</v>
      </c>
      <c r="G9" s="7" t="n">
        <v>74.5</v>
      </c>
      <c r="H9" s="7" t="n">
        <v>5.46</v>
      </c>
      <c r="I9" s="7" t="n">
        <v>2.73</v>
      </c>
      <c r="J9" s="7" t="n">
        <v>1.151</v>
      </c>
    </row>
    <row r="10">
      <c r="A10" s="12" t="inlineStr">
        <is>
          <t>MRPT</t>
        </is>
      </c>
      <c r="B10" s="17" t="n">
        <v>1.253</v>
      </c>
      <c r="C10" s="17" t="n">
        <v>0.8357</v>
      </c>
      <c r="D10" s="17" t="n">
        <v>463</v>
      </c>
      <c r="E10" s="17" t="n">
        <v>9.42</v>
      </c>
      <c r="F10" s="17" t="n">
        <v>9.57</v>
      </c>
      <c r="G10" s="17" t="n">
        <v>78.8</v>
      </c>
      <c r="H10" s="17" t="n">
        <v>5.88</v>
      </c>
      <c r="I10" s="17" t="n">
        <v>2.94</v>
      </c>
      <c r="J10" s="17" t="n">
        <v>0</v>
      </c>
    </row>
    <row r="11">
      <c r="A11" s="10" t="inlineStr">
        <is>
          <t>MTFS</t>
        </is>
      </c>
      <c r="B11" s="7" t="n">
        <v>1.426</v>
      </c>
      <c r="C11" s="7" t="n">
        <v>0.8878</v>
      </c>
      <c r="D11" s="7" t="n">
        <v>300</v>
      </c>
      <c r="E11" s="7" t="n">
        <v>15.42</v>
      </c>
      <c r="F11" s="7" t="n">
        <v>18.48</v>
      </c>
      <c r="G11" s="7" t="n">
        <v>78.2</v>
      </c>
      <c r="H11" s="7" t="n">
        <v>2.37</v>
      </c>
      <c r="I11" s="7" t="n">
        <v>1.19</v>
      </c>
      <c r="J11" s="7" t="n">
        <v>2.205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2026-06-30T08:54:39Z</dcterms:created>
  <dcterms:modified xmlns:dcterms="http://purl.org/dc/terms/" xmlns:xsi="http://www.w3.org/2001/XMLSchema-instance" xsi:type="dcterms:W3CDTF">2026-06-30T08:54:39Z</dcterms:modified>
</cp:coreProperties>
</file>