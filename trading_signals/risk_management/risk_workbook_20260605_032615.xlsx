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drawings/drawing1.xml" ContentType="application/vnd.openxmlformats-officedocument.drawing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 &amp; Summary" sheetId="1" state="visible" r:id="rId1"/>
    <sheet xmlns:r="http://schemas.openxmlformats.org/officeDocument/2006/relationships" name="Balance Sheet" sheetId="2" state="visible" r:id="rId2"/>
    <sheet xmlns:r="http://schemas.openxmlformats.org/officeDocument/2006/relationships" name="Income Statement" sheetId="3" state="visible" r:id="rId3"/>
    <sheet xmlns:r="http://schemas.openxmlformats.org/officeDocument/2006/relationships" name="Capital Statement" sheetId="4" state="visible" r:id="rId4"/>
    <sheet xmlns:r="http://schemas.openxmlformats.org/officeDocument/2006/relationships" name="Cash Flow" sheetId="5" state="visible" r:id="rId5"/>
    <sheet xmlns:r="http://schemas.openxmlformats.org/officeDocument/2006/relationships" name="NAV Trend" sheetId="6" state="visible" r:id="rId6"/>
    <sheet xmlns:r="http://schemas.openxmlformats.org/officeDocument/2006/relationships" name="Exposure &amp; Leverage" sheetId="7" state="visible" r:id="rId7"/>
    <sheet xmlns:r="http://schemas.openxmlformats.org/officeDocument/2006/relationships" name="Concentration" sheetId="8" state="visible" r:id="rId8"/>
    <sheet xmlns:r="http://schemas.openxmlformats.org/officeDocument/2006/relationships" name="Factor &amp; Beta" sheetId="9" state="visible" r:id="rId9"/>
    <sheet xmlns:r="http://schemas.openxmlformats.org/officeDocument/2006/relationships" name="VaR &amp; Volatility" sheetId="10" state="visible" r:id="rId10"/>
    <sheet xmlns:r="http://schemas.openxmlformats.org/officeDocument/2006/relationships" name="Liquidity" sheetId="11" state="visible" r:id="rId11"/>
    <sheet xmlns:r="http://schemas.openxmlformats.org/officeDocument/2006/relationships" name="Stress Scenarios" sheetId="12" state="visible" r:id="rId12"/>
    <sheet xmlns:r="http://schemas.openxmlformats.org/officeDocument/2006/relationships" name="Limit Monitor" sheetId="13" state="visible" r:id="rId13"/>
    <sheet xmlns:r="http://schemas.openxmlformats.org/officeDocument/2006/relationships" name="Position Detail" sheetId="14" state="visible" r:id="rId14"/>
    <sheet xmlns:r="http://schemas.openxmlformats.org/officeDocument/2006/relationships" name="Pair PnL Attribution" sheetId="15" state="visible" r:id="rId15"/>
    <sheet xmlns:r="http://schemas.openxmlformats.org/officeDocument/2006/relationships" name="Inventory Reconciliation" sheetId="16" state="visible" r:id="rId16"/>
    <sheet xmlns:r="http://schemas.openxmlformats.org/officeDocument/2006/relationships" name="Risk Contribution" sheetId="17" state="visible" r:id="rId17"/>
    <sheet xmlns:r="http://schemas.openxmlformats.org/officeDocument/2006/relationships" name="Factor Attribution" sheetId="18" state="visible" r:id="rId18"/>
    <sheet xmlns:r="http://schemas.openxmlformats.org/officeDocument/2006/relationships" name="Return Distribution" sheetId="19" state="visible" r:id="rId19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"/>
    <numFmt numFmtId="165" formatCode="0.00&quot;%&quot;"/>
  </numFmts>
  <fonts count="10">
    <font>
      <name val="Calibri"/>
      <family val="2"/>
      <color theme="1"/>
      <sz val="11"/>
      <scheme val="minor"/>
    </font>
    <font>
      <b val="1"/>
      <color rgb="FF1A1A2E"/>
      <sz val="13"/>
    </font>
    <font>
      <i val="1"/>
      <sz val="8"/>
    </font>
    <font>
      <b val="1"/>
      <sz val="9"/>
    </font>
    <font>
      <sz val="9"/>
    </font>
    <font>
      <color rgb="FF1A7A4A"/>
      <sz val="9"/>
    </font>
    <font>
      <b val="1"/>
      <color rgb="00D4A843"/>
      <sz val="10"/>
    </font>
    <font>
      <b val="1"/>
      <color rgb="FFFFFFFF"/>
      <sz val="9"/>
    </font>
    <font>
      <color rgb="FFC0392B"/>
      <sz val="9"/>
    </font>
    <font>
      <b val="1"/>
      <color rgb="00D4A843"/>
    </font>
  </fonts>
  <fills count="7">
    <fill>
      <patternFill/>
    </fill>
    <fill>
      <patternFill patternType="gray125"/>
    </fill>
    <fill>
      <patternFill patternType="solid">
        <fgColor rgb="FF1A1A2E"/>
      </patternFill>
    </fill>
    <fill>
      <patternFill patternType="solid">
        <fgColor rgb="FFF7F9FC"/>
      </patternFill>
    </fill>
    <fill>
      <patternFill patternType="solid">
        <fgColor rgb="FFE6F4EA"/>
      </patternFill>
    </fill>
    <fill>
      <patternFill patternType="solid">
        <fgColor rgb="FFF8D7DA"/>
      </patternFill>
    </fill>
    <fill>
      <patternFill patternType="solid">
        <fgColor rgb="FFFFF3CD"/>
      </patternFill>
    </fill>
  </fills>
  <borders count="2">
    <border>
      <left/>
      <right/>
      <top/>
      <bottom/>
      <diagonal/>
    </border>
    <border>
      <bottom style="medium">
        <color rgb="FFD4A843"/>
      </bottom>
    </border>
  </borders>
  <cellStyleXfs count="1">
    <xf numFmtId="0" fontId="0" fillId="0" borderId="0"/>
  </cellStyleXfs>
  <cellXfs count="3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2" fillId="0" borderId="0" pivotButton="0" quotePrefix="0" xfId="0"/>
    <xf numFmtId="0" fontId="3" fillId="0" borderId="0" applyAlignment="1" pivotButton="0" quotePrefix="0" xfId="0">
      <alignment vertical="center"/>
    </xf>
    <xf numFmtId="3" fontId="5" fillId="0" borderId="0" applyAlignment="1" pivotButton="0" quotePrefix="0" xfId="0">
      <alignment horizontal="right" vertical="center"/>
    </xf>
    <xf numFmtId="4" fontId="4" fillId="0" borderId="0" applyAlignment="1" pivotButton="0" quotePrefix="0" xfId="0">
      <alignment horizontal="right" vertical="center"/>
    </xf>
    <xf numFmtId="164" fontId="4" fillId="0" borderId="0" applyAlignment="1" pivotButton="0" quotePrefix="0" xfId="0">
      <alignment horizontal="right" vertical="center"/>
    </xf>
    <xf numFmtId="0" fontId="4" fillId="0" borderId="0" applyAlignment="1" pivotButton="0" quotePrefix="0" xfId="0">
      <alignment horizontal="right" vertical="center"/>
    </xf>
    <xf numFmtId="0" fontId="6" fillId="0" borderId="0" pivotButton="0" quotePrefix="0" xfId="0"/>
    <xf numFmtId="0" fontId="7" fillId="2" borderId="1" applyAlignment="1" pivotButton="0" quotePrefix="0" xfId="0">
      <alignment horizontal="center" wrapText="1"/>
    </xf>
    <xf numFmtId="0" fontId="4" fillId="0" borderId="0" applyAlignment="1" pivotButton="0" quotePrefix="0" xfId="0">
      <alignment horizontal="left" vertical="center"/>
    </xf>
    <xf numFmtId="4" fontId="5" fillId="0" borderId="0" applyAlignment="1" pivotButton="0" quotePrefix="0" xfId="0">
      <alignment horizontal="right" vertical="center"/>
    </xf>
    <xf numFmtId="0" fontId="4" fillId="3" borderId="0" applyAlignment="1" pivotButton="0" quotePrefix="0" xfId="0">
      <alignment horizontal="left" vertical="center"/>
    </xf>
    <xf numFmtId="3" fontId="5" fillId="3" borderId="0" applyAlignment="1" pivotButton="0" quotePrefix="0" xfId="0">
      <alignment horizontal="right" vertical="center"/>
    </xf>
    <xf numFmtId="0" fontId="3" fillId="3" borderId="0" applyAlignment="1" pivotButton="0" quotePrefix="0" xfId="0">
      <alignment horizontal="left" vertical="center"/>
    </xf>
    <xf numFmtId="4" fontId="5" fillId="3" borderId="0" applyAlignment="1" pivotButton="0" quotePrefix="0" xfId="0">
      <alignment horizontal="right" vertical="center"/>
    </xf>
    <xf numFmtId="0" fontId="3" fillId="0" borderId="0" applyAlignment="1" pivotButton="0" quotePrefix="0" xfId="0">
      <alignment horizontal="left" vertical="center"/>
    </xf>
    <xf numFmtId="0" fontId="4" fillId="3" borderId="0" applyAlignment="1" pivotButton="0" quotePrefix="0" xfId="0">
      <alignment horizontal="right" vertical="center"/>
    </xf>
    <xf numFmtId="3" fontId="8" fillId="3" borderId="0" applyAlignment="1" pivotButton="0" quotePrefix="0" xfId="0">
      <alignment horizontal="right" vertical="center"/>
    </xf>
    <xf numFmtId="3" fontId="8" fillId="0" borderId="0" applyAlignment="1" pivotButton="0" quotePrefix="0" xfId="0">
      <alignment horizontal="right" vertical="center"/>
    </xf>
    <xf numFmtId="165" fontId="5" fillId="3" borderId="0" applyAlignment="1" pivotButton="0" quotePrefix="0" xfId="0">
      <alignment horizontal="right" vertical="center"/>
    </xf>
    <xf numFmtId="165" fontId="5" fillId="0" borderId="0" applyAlignment="1" pivotButton="0" quotePrefix="0" xfId="0">
      <alignment horizontal="right" vertical="center"/>
    </xf>
    <xf numFmtId="165" fontId="8" fillId="0" borderId="0" applyAlignment="1" pivotButton="0" quotePrefix="0" xfId="0">
      <alignment horizontal="right" vertical="center"/>
    </xf>
    <xf numFmtId="165" fontId="8" fillId="3" borderId="0" applyAlignment="1" pivotButton="0" quotePrefix="0" xfId="0">
      <alignment horizontal="right" vertical="center"/>
    </xf>
    <xf numFmtId="3" fontId="4" fillId="0" borderId="0" applyAlignment="1" pivotButton="0" quotePrefix="0" xfId="0">
      <alignment horizontal="right" vertical="center"/>
    </xf>
    <xf numFmtId="4" fontId="4" fillId="3" borderId="0" applyAlignment="1" pivotButton="0" quotePrefix="0" xfId="0">
      <alignment horizontal="right" vertical="center"/>
    </xf>
    <xf numFmtId="3" fontId="4" fillId="3" borderId="0" applyAlignment="1" pivotButton="0" quotePrefix="0" xfId="0">
      <alignment horizontal="right" vertical="center"/>
    </xf>
    <xf numFmtId="0" fontId="3" fillId="0" borderId="0" pivotButton="0" quotePrefix="0" xfId="0"/>
    <xf numFmtId="0" fontId="9" fillId="0" borderId="0" pivotButton="0" quotePrefix="0" xfId="0"/>
    <xf numFmtId="0" fontId="4" fillId="4" borderId="0" applyAlignment="1" pivotButton="0" quotePrefix="0" xfId="0">
      <alignment horizontal="left" vertical="center"/>
    </xf>
    <xf numFmtId="0" fontId="4" fillId="4" borderId="0" applyAlignment="1" pivotButton="0" quotePrefix="0" xfId="0">
      <alignment horizontal="right" vertical="center"/>
    </xf>
    <xf numFmtId="0" fontId="4" fillId="5" borderId="0" applyAlignment="1" pivotButton="0" quotePrefix="0" xfId="0">
      <alignment horizontal="left" vertical="center"/>
    </xf>
    <xf numFmtId="0" fontId="4" fillId="5" borderId="0" applyAlignment="1" pivotButton="0" quotePrefix="0" xfId="0">
      <alignment horizontal="right" vertical="center"/>
    </xf>
    <xf numFmtId="0" fontId="4" fillId="6" borderId="0" applyAlignment="1" pivotButton="0" quotePrefix="0" xfId="0">
      <alignment horizontal="left" vertical="center"/>
    </xf>
    <xf numFmtId="0" fontId="4" fillId="6" borderId="0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styles" Target="styles.xml" Id="rId20"/><Relationship Type="http://schemas.openxmlformats.org/officeDocument/2006/relationships/theme" Target="theme/theme1.xml" Id="rId21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Combined NAV</a:t>
            </a:r>
          </a:p>
        </rich>
      </tx>
    </title>
    <plotArea>
      <lineChart>
        <grouping val="standard"/>
        <ser>
          <idx val="0"/>
          <order val="0"/>
          <tx>
            <strRef>
              <f>'NAV Trend'!B3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'NAV Trend'!$A$4:$A$151</f>
            </numRef>
          </cat>
          <val>
            <numRef>
              <f>'NAV Trend'!$B$4:$B$151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3</col>
      <colOff>0</colOff>
      <row>2</row>
      <rowOff>0</rowOff>
    </from>
    <ext cx="720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cols>
    <col width="34" customWidth="1" min="1" max="1"/>
    <col width="30" customWidth="1" min="2" max="2"/>
  </cols>
  <sheetData>
    <row r="1">
      <c r="A1" s="1" t="inlineStr">
        <is>
          <t>SOMEO PARK — 组合风险管理报告 / Risk Management Report</t>
        </is>
      </c>
    </row>
    <row r="2">
      <c r="A2" s="2" t="inlineStr">
        <is>
          <t>Signal date 2026-06-04  ·  Generated 2026-06-24T18:50:24  ·  Scope: MRPT+MTFS pairs book (model-based, broker-reconciled)</t>
        </is>
      </c>
    </row>
    <row r="4">
      <c r="A4" s="3" t="inlineStr">
        <is>
          <t>NAV (equity)</t>
        </is>
      </c>
      <c r="B4" s="4" t="n">
        <v>1111869.67</v>
      </c>
    </row>
    <row r="5">
      <c r="A5" s="3" t="inlineStr">
        <is>
          <t>Gross leverage (x)</t>
        </is>
      </c>
      <c r="B5" s="5" t="n">
        <v>4.313</v>
      </c>
    </row>
    <row r="6">
      <c r="A6" s="3" t="inlineStr">
        <is>
          <t>Net leverage (x)</t>
        </is>
      </c>
      <c r="B6" s="5" t="n">
        <v>2.821</v>
      </c>
    </row>
    <row r="7">
      <c r="A7" s="3" t="inlineStr">
        <is>
          <t>Net market beta (target≈0)</t>
        </is>
      </c>
      <c r="B7" s="5" t="n">
        <v>5.661</v>
      </c>
    </row>
    <row r="8">
      <c r="A8" s="3" t="inlineStr">
        <is>
          <t>VaR 95% 1-day ($)</t>
        </is>
      </c>
      <c r="B8" s="4" t="n">
        <v>110097.87</v>
      </c>
    </row>
    <row r="9">
      <c r="A9" s="3" t="inlineStr">
        <is>
          <t>VaR 95% 1-day (% NAV)</t>
        </is>
      </c>
      <c r="B9" s="5" t="n">
        <v>9.9</v>
      </c>
    </row>
    <row r="10">
      <c r="A10" s="3" t="inlineStr">
        <is>
          <t>Annual vol (% NAV)</t>
        </is>
      </c>
      <c r="B10" s="5" t="n">
        <v>95.56</v>
      </c>
    </row>
    <row r="11">
      <c r="A11" s="3" t="inlineStr">
        <is>
          <t>Sharpe (annual)</t>
        </is>
      </c>
      <c r="B11" s="5" t="n">
        <v>1.91</v>
      </c>
    </row>
    <row r="12">
      <c r="A12" s="3" t="inlineStr">
        <is>
          <t>PSR( SR&gt;0 )</t>
        </is>
      </c>
      <c r="B12" s="6" t="n">
        <v>0.9616</v>
      </c>
    </row>
    <row r="13">
      <c r="A13" s="3" t="inlineStr">
        <is>
          <t>CDaR 95% (%)</t>
        </is>
      </c>
      <c r="B13" s="5" t="n">
        <v>8.609999999999999</v>
      </c>
    </row>
    <row r="14">
      <c r="A14" s="3" t="inlineStr">
        <is>
          <t>Kelly full / half (x)</t>
        </is>
      </c>
      <c r="B14" s="7" t="inlineStr">
        <is>
          <t>9.22 / 4.61</t>
        </is>
      </c>
    </row>
    <row r="15">
      <c r="A15" s="3" t="inlineStr">
        <is>
          <t>Actual gross leverage (x)</t>
        </is>
      </c>
      <c r="B15" s="5" t="n">
        <v>4.313</v>
      </c>
    </row>
    <row r="16">
      <c r="A16" s="3" t="inlineStr">
        <is>
          <t>Max single-name</t>
        </is>
      </c>
      <c r="B16" s="7" t="inlineStr">
        <is>
          <t>KLAC (208.92% NAV)</t>
        </is>
      </c>
    </row>
    <row r="17">
      <c r="A17" s="3" t="inlineStr">
        <is>
          <t>Max sector net (% gross)</t>
        </is>
      </c>
      <c r="B17" s="5" t="n">
        <v>61.48</v>
      </c>
    </row>
    <row r="18">
      <c r="A18" s="3" t="inlineStr">
        <is>
          <t>Open pairs</t>
        </is>
      </c>
      <c r="B18" s="5" t="n">
        <v>15</v>
      </c>
    </row>
    <row r="19">
      <c r="A19" s="3" t="inlineStr">
        <is>
          <t>Limit breaches</t>
        </is>
      </c>
      <c r="B19" s="5" t="n">
        <v>10</v>
      </c>
    </row>
    <row r="20">
      <c r="A20" s="3" t="inlineStr">
        <is>
          <t>Worst breach</t>
        </is>
      </c>
      <c r="B20" s="7" t="inlineStr">
        <is>
          <t>gross_leverage:mtfs red</t>
        </is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02"/>
  <sheetViews>
    <sheetView workbookViewId="0">
      <selection activeCell="A1" sqref="A1"/>
    </sheetView>
  </sheetViews>
  <sheetFormatPr baseColWidth="8" defaultRowHeight="15"/>
  <cols>
    <col width="42" customWidth="1" min="1" max="1"/>
    <col width="18" customWidth="1" min="2" max="2"/>
    <col width="18" customWidth="1" min="3" max="3"/>
    <col width="18" customWidth="1" min="4" max="4"/>
    <col width="18" customWidth="1" min="5" max="5"/>
  </cols>
  <sheetData>
    <row r="1">
      <c r="A1" s="1" t="inlineStr">
        <is>
          <t>BALANCE SHEET + LONG/SHORT BOOK — 资产负债表 + 双账户法</t>
        </is>
      </c>
    </row>
    <row r="3">
      <c r="A3" s="8" t="inlineStr">
        <is>
          <t>COMBINED — 资产负债表法</t>
        </is>
      </c>
    </row>
    <row r="4">
      <c r="A4" s="9" t="inlineStr">
        <is>
          <t>Line item</t>
        </is>
      </c>
      <c r="B4" s="9" t="inlineStr">
        <is>
          <t>T (今日)</t>
        </is>
      </c>
      <c r="C4" s="9" t="inlineStr">
        <is>
          <t>T-1D (前日)</t>
        </is>
      </c>
      <c r="D4" s="9" t="inlineStr">
        <is>
          <t>T-1W (上周)</t>
        </is>
      </c>
      <c r="E4" s="9" t="inlineStr">
        <is>
          <t>T-1M (上月)</t>
        </is>
      </c>
    </row>
    <row r="5">
      <c r="A5" s="10" t="inlineStr">
        <is>
          <t>Free Cash 自由现金</t>
        </is>
      </c>
      <c r="B5" s="11" t="n">
        <v>0</v>
      </c>
      <c r="C5" s="11" t="n">
        <v>0</v>
      </c>
      <c r="D5" s="11" t="n">
        <v>0</v>
      </c>
      <c r="E5" s="4" t="n">
        <v>331420.63</v>
      </c>
    </row>
    <row r="6">
      <c r="A6" s="12" t="inlineStr">
        <is>
          <t>Restricted Cash 受限现金 (PB 102%)</t>
        </is>
      </c>
      <c r="B6" s="13" t="n">
        <v>845850.78</v>
      </c>
      <c r="C6" s="13" t="n">
        <v>999888.16</v>
      </c>
      <c r="D6" s="13" t="n">
        <v>874362.36</v>
      </c>
      <c r="E6" s="13" t="n">
        <v>835718.48</v>
      </c>
    </row>
    <row r="7">
      <c r="A7" s="10" t="inlineStr">
        <is>
          <t>Long Securities 多头证券</t>
        </is>
      </c>
      <c r="B7" s="4" t="n">
        <v>3966284.68</v>
      </c>
      <c r="C7" s="4" t="n">
        <v>4031206.54</v>
      </c>
      <c r="D7" s="4" t="n">
        <v>3948333.29</v>
      </c>
      <c r="E7" s="4" t="n">
        <v>684665.47</v>
      </c>
    </row>
    <row r="8">
      <c r="A8" s="14" t="inlineStr">
        <is>
          <t>Total Assets 总资产</t>
        </is>
      </c>
      <c r="B8" s="13" t="n">
        <v>4812135.46</v>
      </c>
      <c r="C8" s="13" t="n">
        <v>5031094.7</v>
      </c>
      <c r="D8" s="13" t="n">
        <v>4822695.65</v>
      </c>
      <c r="E8" s="13" t="n">
        <v>1851804.58</v>
      </c>
    </row>
    <row r="9">
      <c r="A9" s="10" t="inlineStr">
        <is>
          <t>Short Securities 空头证券 (义务)</t>
        </is>
      </c>
      <c r="B9" s="4" t="n">
        <v>829265.47</v>
      </c>
      <c r="C9" s="4" t="n">
        <v>980282.51</v>
      </c>
      <c r="D9" s="4" t="n">
        <v>857218</v>
      </c>
      <c r="E9" s="4" t="n">
        <v>819331.84</v>
      </c>
    </row>
    <row r="10">
      <c r="A10" s="12" t="inlineStr">
        <is>
          <t>Margin Loan 保证金借款</t>
        </is>
      </c>
      <c r="B10" s="13" t="n">
        <v>2871000.32</v>
      </c>
      <c r="C10" s="13" t="n">
        <v>2942254.14</v>
      </c>
      <c r="D10" s="13" t="n">
        <v>2974077.28</v>
      </c>
      <c r="E10" s="15" t="n">
        <v>0</v>
      </c>
    </row>
    <row r="11">
      <c r="A11" s="16" t="inlineStr">
        <is>
          <t>Total Liabilities 总负债</t>
        </is>
      </c>
      <c r="B11" s="4" t="n">
        <v>3700265.79</v>
      </c>
      <c r="C11" s="4" t="n">
        <v>3922536.65</v>
      </c>
      <c r="D11" s="4" t="n">
        <v>3831295.28</v>
      </c>
      <c r="E11" s="4" t="n">
        <v>819331.84</v>
      </c>
    </row>
    <row r="12">
      <c r="A12" s="14" t="inlineStr">
        <is>
          <t>NAV (Equity) 净值 = TA - TL</t>
        </is>
      </c>
      <c r="B12" s="13" t="n">
        <v>1111869.67</v>
      </c>
      <c r="C12" s="13" t="n">
        <v>1108558.05</v>
      </c>
      <c r="D12" s="13" t="n">
        <v>991400.37</v>
      </c>
      <c r="E12" s="13" t="n">
        <v>1032472.74</v>
      </c>
    </row>
    <row r="13">
      <c r="A13" s="10" t="inlineStr">
        <is>
          <t>Gross Leverage 总杠杆 (x)</t>
        </is>
      </c>
      <c r="B13" s="7" t="n">
        <v>4.313</v>
      </c>
      <c r="C13" s="7" t="n">
        <v>4.521</v>
      </c>
      <c r="D13" s="7" t="n">
        <v>4.847</v>
      </c>
      <c r="E13" s="7" t="n">
        <v>1.457</v>
      </c>
    </row>
    <row r="14">
      <c r="A14" s="12" t="inlineStr">
        <is>
          <t>Net Leverage 净杠杆 (x)</t>
        </is>
      </c>
      <c r="B14" s="17" t="n">
        <v>2.821</v>
      </c>
      <c r="C14" s="17" t="n">
        <v>2.752</v>
      </c>
      <c r="D14" s="17" t="n">
        <v>3.118</v>
      </c>
      <c r="E14" s="17" t="n">
        <v>-0.13</v>
      </c>
    </row>
    <row r="15">
      <c r="A15" s="10" t="inlineStr">
        <is>
          <t>PM Requirement (20%)</t>
        </is>
      </c>
      <c r="B15" s="4" t="n">
        <v>959110.03</v>
      </c>
      <c r="C15" s="4" t="n">
        <v>1002297.81</v>
      </c>
      <c r="D15" s="4" t="n">
        <v>961110.26</v>
      </c>
      <c r="E15" s="4" t="n">
        <v>300799.46</v>
      </c>
    </row>
    <row r="16">
      <c r="A16" s="12" t="inlineStr">
        <is>
          <t>Excess Liquidity 超额流动性</t>
        </is>
      </c>
      <c r="B16" s="13" t="n">
        <v>152759.64</v>
      </c>
      <c r="C16" s="13" t="n">
        <v>106260.24</v>
      </c>
      <c r="D16" s="13" t="n">
        <v>30290.11</v>
      </c>
      <c r="E16" s="13" t="n">
        <v>731673.28</v>
      </c>
    </row>
    <row r="17">
      <c r="A17" s="10" t="inlineStr">
        <is>
          <t>Balance Check (≈0)</t>
        </is>
      </c>
      <c r="B17" s="7" t="n">
        <v>0</v>
      </c>
      <c r="C17" s="7" t="n">
        <v>0</v>
      </c>
      <c r="D17" s="7" t="n">
        <v>0</v>
      </c>
      <c r="E17" s="7" t="n">
        <v>0</v>
      </c>
    </row>
    <row r="19">
      <c r="A19" s="8" t="inlineStr">
        <is>
          <t>COMBINED — 双账户法</t>
        </is>
      </c>
    </row>
    <row r="20">
      <c r="A20" s="9" t="inlineStr">
        <is>
          <t>Line item</t>
        </is>
      </c>
      <c r="B20" s="9" t="inlineStr">
        <is>
          <t>T (今日)</t>
        </is>
      </c>
      <c r="C20" s="9" t="inlineStr">
        <is>
          <t>T-1D (前日)</t>
        </is>
      </c>
      <c r="D20" s="9" t="inlineStr">
        <is>
          <t>T-1W (上周)</t>
        </is>
      </c>
      <c r="E20" s="9" t="inlineStr">
        <is>
          <t>T-1M (上月)</t>
        </is>
      </c>
    </row>
    <row r="21">
      <c r="A21" s="10" t="inlineStr">
        <is>
          <t>Long Book — Allocated Capital 分配资本</t>
        </is>
      </c>
      <c r="B21" s="4" t="n">
        <v>1111869.67</v>
      </c>
      <c r="C21" s="4" t="n">
        <v>1108558.05</v>
      </c>
      <c r="D21" s="4" t="n">
        <v>991400.37</v>
      </c>
      <c r="E21" s="4" t="n">
        <v>684665.47</v>
      </c>
    </row>
    <row r="22">
      <c r="A22" s="12" t="inlineStr">
        <is>
          <t>Long Book — Cash 现金</t>
        </is>
      </c>
      <c r="B22" s="15" t="n">
        <v>0</v>
      </c>
      <c r="C22" s="15" t="n">
        <v>0</v>
      </c>
      <c r="D22" s="15" t="n">
        <v>0</v>
      </c>
      <c r="E22" s="15" t="n">
        <v>0</v>
      </c>
    </row>
    <row r="23">
      <c r="A23" s="10" t="inlineStr">
        <is>
          <t>Long Book — Market Value 市值</t>
        </is>
      </c>
      <c r="B23" s="4" t="n">
        <v>3966284.68</v>
      </c>
      <c r="C23" s="4" t="n">
        <v>4031206.54</v>
      </c>
      <c r="D23" s="4" t="n">
        <v>3948333.29</v>
      </c>
      <c r="E23" s="4" t="n">
        <v>684665.47</v>
      </c>
    </row>
    <row r="24">
      <c r="A24" s="12" t="inlineStr">
        <is>
          <t>Long Book — Margin Loan 融资</t>
        </is>
      </c>
      <c r="B24" s="13" t="n">
        <v>2854415.01</v>
      </c>
      <c r="C24" s="13" t="n">
        <v>2922648.49</v>
      </c>
      <c r="D24" s="13" t="n">
        <v>2956932.92</v>
      </c>
      <c r="E24" s="15" t="n">
        <v>0</v>
      </c>
    </row>
    <row r="25">
      <c r="A25" s="16" t="inlineStr">
        <is>
          <t>Long Book — NAV</t>
        </is>
      </c>
      <c r="B25" s="4" t="n">
        <v>1111869.67</v>
      </c>
      <c r="C25" s="4" t="n">
        <v>1108558.05</v>
      </c>
      <c r="D25" s="4" t="n">
        <v>991400.37</v>
      </c>
      <c r="E25" s="4" t="n">
        <v>684665.47</v>
      </c>
    </row>
    <row r="26">
      <c r="A26" s="12" t="inlineStr">
        <is>
          <t>Short Book — Allocated Capital 分配资本</t>
        </is>
      </c>
      <c r="B26" s="15" t="n">
        <v>0</v>
      </c>
      <c r="C26" s="15" t="n">
        <v>0</v>
      </c>
      <c r="D26" s="15" t="n">
        <v>0</v>
      </c>
      <c r="E26" s="13" t="n">
        <v>16386.64</v>
      </c>
    </row>
    <row r="27">
      <c r="A27" s="10" t="inlineStr">
        <is>
          <t>Short Book — Collateral 担保金</t>
        </is>
      </c>
      <c r="B27" s="11" t="n">
        <v>0</v>
      </c>
      <c r="C27" s="11" t="n">
        <v>0</v>
      </c>
      <c r="D27" s="11" t="n">
        <v>0</v>
      </c>
      <c r="E27" s="4" t="n">
        <v>16386.64</v>
      </c>
    </row>
    <row r="28">
      <c r="A28" s="12" t="inlineStr">
        <is>
          <t>Short Book — Short Proceeds 做空收入</t>
        </is>
      </c>
      <c r="B28" s="13" t="n">
        <v>829265.47</v>
      </c>
      <c r="C28" s="13" t="n">
        <v>980282.51</v>
      </c>
      <c r="D28" s="13" t="n">
        <v>857218</v>
      </c>
      <c r="E28" s="13" t="n">
        <v>819331.84</v>
      </c>
    </row>
    <row r="29">
      <c r="A29" s="10" t="inlineStr">
        <is>
          <t>Short Book — Market Value 市值(负债)</t>
        </is>
      </c>
      <c r="B29" s="4" t="n">
        <v>829265.47</v>
      </c>
      <c r="C29" s="4" t="n">
        <v>980282.51</v>
      </c>
      <c r="D29" s="4" t="n">
        <v>857218</v>
      </c>
      <c r="E29" s="4" t="n">
        <v>819331.84</v>
      </c>
    </row>
    <row r="30">
      <c r="A30" s="12" t="inlineStr">
        <is>
          <t>Short Book — Margin Loan 融资(2%)</t>
        </is>
      </c>
      <c r="B30" s="13" t="n">
        <v>16585.31</v>
      </c>
      <c r="C30" s="13" t="n">
        <v>19605.65</v>
      </c>
      <c r="D30" s="13" t="n">
        <v>17144.36</v>
      </c>
      <c r="E30" s="15" t="n">
        <v>0</v>
      </c>
    </row>
    <row r="31">
      <c r="A31" s="16" t="inlineStr">
        <is>
          <t>Short Book — NAV</t>
        </is>
      </c>
      <c r="B31" s="11" t="n">
        <v>0</v>
      </c>
      <c r="C31" s="11" t="n">
        <v>0</v>
      </c>
      <c r="D31" s="11" t="n">
        <v>0</v>
      </c>
      <c r="E31" s="4" t="n">
        <v>16386.64</v>
      </c>
    </row>
    <row r="32">
      <c r="A32" s="12" t="inlineStr">
        <is>
          <t>Unallocated Cash 未分配现金</t>
        </is>
      </c>
      <c r="B32" s="15" t="n">
        <v>0</v>
      </c>
      <c r="C32" s="15" t="n">
        <v>-0</v>
      </c>
      <c r="D32" s="15" t="n">
        <v>-0</v>
      </c>
      <c r="E32" s="13" t="n">
        <v>331420.63</v>
      </c>
    </row>
    <row r="33">
      <c r="A33" s="16" t="inlineStr">
        <is>
          <t>Dual-View NAV 双账户法NAV</t>
        </is>
      </c>
      <c r="B33" s="4" t="n">
        <v>1111869.67</v>
      </c>
      <c r="C33" s="4" t="n">
        <v>1108558.05</v>
      </c>
      <c r="D33" s="4" t="n">
        <v>991400.37</v>
      </c>
      <c r="E33" s="4" t="n">
        <v>1032472.74</v>
      </c>
    </row>
    <row r="34">
      <c r="A34" s="12" t="inlineStr">
        <is>
          <t>NAV Alignment Check (≈0)</t>
        </is>
      </c>
      <c r="B34" s="17" t="n">
        <v>0</v>
      </c>
      <c r="C34" s="17" t="n">
        <v>0</v>
      </c>
      <c r="D34" s="17" t="n">
        <v>0</v>
      </c>
      <c r="E34" s="17" t="n">
        <v>0</v>
      </c>
    </row>
    <row r="37">
      <c r="A37" s="8" t="inlineStr">
        <is>
          <t>MRPT — 资产负债表法</t>
        </is>
      </c>
    </row>
    <row r="38">
      <c r="A38" s="9" t="inlineStr">
        <is>
          <t>Line item</t>
        </is>
      </c>
      <c r="B38" s="9" t="inlineStr">
        <is>
          <t>T (今日)</t>
        </is>
      </c>
      <c r="C38" s="9" t="inlineStr">
        <is>
          <t>T-1D (前日)</t>
        </is>
      </c>
      <c r="D38" s="9" t="inlineStr">
        <is>
          <t>T-1W (上周)</t>
        </is>
      </c>
      <c r="E38" s="9" t="inlineStr">
        <is>
          <t>T-1M (上月)</t>
        </is>
      </c>
    </row>
    <row r="39">
      <c r="A39" s="10" t="inlineStr">
        <is>
          <t>Free Cash 自由现金</t>
        </is>
      </c>
      <c r="B39" s="4" t="n">
        <v>476144.43</v>
      </c>
      <c r="C39" s="4" t="n">
        <v>479480.23</v>
      </c>
      <c r="D39" s="4" t="n">
        <v>478281.59</v>
      </c>
      <c r="E39" s="4" t="n">
        <v>488152.17</v>
      </c>
    </row>
    <row r="40">
      <c r="A40" s="12" t="inlineStr">
        <is>
          <t>Restricted Cash 受限现金 (PB 102%)</t>
        </is>
      </c>
      <c r="B40" s="13" t="n">
        <v>89323.60000000001</v>
      </c>
      <c r="C40" s="13" t="n">
        <v>86290.31</v>
      </c>
      <c r="D40" s="13" t="n">
        <v>88856.36</v>
      </c>
      <c r="E40" s="13" t="n">
        <v>124638.55</v>
      </c>
    </row>
    <row r="41">
      <c r="A41" s="10" t="inlineStr">
        <is>
          <t>Long Securities 多头证券</t>
        </is>
      </c>
      <c r="B41" s="4" t="n">
        <v>96799.36</v>
      </c>
      <c r="C41" s="4" t="n">
        <v>95940</v>
      </c>
      <c r="D41" s="4" t="n">
        <v>90309.06</v>
      </c>
      <c r="E41" s="4" t="n">
        <v>117434.88</v>
      </c>
    </row>
    <row r="42">
      <c r="A42" s="14" t="inlineStr">
        <is>
          <t>Total Assets 总资产</t>
        </is>
      </c>
      <c r="B42" s="13" t="n">
        <v>662267.39</v>
      </c>
      <c r="C42" s="13" t="n">
        <v>661710.54</v>
      </c>
      <c r="D42" s="13" t="n">
        <v>657447.01</v>
      </c>
      <c r="E42" s="13" t="n">
        <v>730225.6</v>
      </c>
    </row>
    <row r="43">
      <c r="A43" s="10" t="inlineStr">
        <is>
          <t>Short Securities 空头证券 (义务)</t>
        </is>
      </c>
      <c r="B43" s="4" t="n">
        <v>87572.16</v>
      </c>
      <c r="C43" s="4" t="n">
        <v>84598.34</v>
      </c>
      <c r="D43" s="4" t="n">
        <v>87114.08</v>
      </c>
      <c r="E43" s="4" t="n">
        <v>122194.66</v>
      </c>
    </row>
    <row r="44">
      <c r="A44" s="12" t="inlineStr">
        <is>
          <t>Margin Loan 保证金借款</t>
        </is>
      </c>
      <c r="B44" s="15" t="n">
        <v>0</v>
      </c>
      <c r="C44" s="15" t="n">
        <v>0</v>
      </c>
      <c r="D44" s="15" t="n">
        <v>0</v>
      </c>
      <c r="E44" s="15" t="n">
        <v>0</v>
      </c>
    </row>
    <row r="45">
      <c r="A45" s="16" t="inlineStr">
        <is>
          <t>Total Liabilities 总负债</t>
        </is>
      </c>
      <c r="B45" s="4" t="n">
        <v>87572.16</v>
      </c>
      <c r="C45" s="4" t="n">
        <v>84598.34</v>
      </c>
      <c r="D45" s="4" t="n">
        <v>87114.08</v>
      </c>
      <c r="E45" s="4" t="n">
        <v>122194.66</v>
      </c>
    </row>
    <row r="46">
      <c r="A46" s="14" t="inlineStr">
        <is>
          <t>NAV (Equity) 净值 = TA - TL</t>
        </is>
      </c>
      <c r="B46" s="13" t="n">
        <v>574695.23</v>
      </c>
      <c r="C46" s="13" t="n">
        <v>577112.2</v>
      </c>
      <c r="D46" s="13" t="n">
        <v>570332.9300000001</v>
      </c>
      <c r="E46" s="13" t="n">
        <v>608030.9399999999</v>
      </c>
    </row>
    <row r="47">
      <c r="A47" s="10" t="inlineStr">
        <is>
          <t>Gross Leverage 总杠杆 (x)</t>
        </is>
      </c>
      <c r="B47" s="7" t="n">
        <v>0.321</v>
      </c>
      <c r="C47" s="7" t="n">
        <v>0.313</v>
      </c>
      <c r="D47" s="7" t="n">
        <v>0.311</v>
      </c>
      <c r="E47" s="7" t="n">
        <v>0.394</v>
      </c>
    </row>
    <row r="48">
      <c r="A48" s="12" t="inlineStr">
        <is>
          <t>Net Leverage 净杠杆 (x)</t>
        </is>
      </c>
      <c r="B48" s="17" t="n">
        <v>0.016</v>
      </c>
      <c r="C48" s="17" t="n">
        <v>0.02</v>
      </c>
      <c r="D48" s="17" t="n">
        <v>0.006</v>
      </c>
      <c r="E48" s="17" t="n">
        <v>-0.008</v>
      </c>
    </row>
    <row r="49">
      <c r="A49" s="10" t="inlineStr">
        <is>
          <t>PM Requirement (20%)</t>
        </is>
      </c>
      <c r="B49" s="4" t="n">
        <v>36874.3</v>
      </c>
      <c r="C49" s="4" t="n">
        <v>36107.67</v>
      </c>
      <c r="D49" s="4" t="n">
        <v>35484.63</v>
      </c>
      <c r="E49" s="4" t="n">
        <v>47925.91</v>
      </c>
    </row>
    <row r="50">
      <c r="A50" s="12" t="inlineStr">
        <is>
          <t>Excess Liquidity 超额流动性</t>
        </is>
      </c>
      <c r="B50" s="13" t="n">
        <v>537820.9300000001</v>
      </c>
      <c r="C50" s="13" t="n">
        <v>541004.53</v>
      </c>
      <c r="D50" s="13" t="n">
        <v>534848.3</v>
      </c>
      <c r="E50" s="13" t="n">
        <v>560105.03</v>
      </c>
    </row>
    <row r="51">
      <c r="A51" s="10" t="inlineStr">
        <is>
          <t>Balance Check (≈0)</t>
        </is>
      </c>
      <c r="B51" s="7" t="n">
        <v>0</v>
      </c>
      <c r="C51" s="7" t="n">
        <v>-0</v>
      </c>
      <c r="D51" s="7" t="n">
        <v>0</v>
      </c>
      <c r="E51" s="7" t="n">
        <v>0</v>
      </c>
    </row>
    <row r="53">
      <c r="A53" s="8" t="inlineStr">
        <is>
          <t>MRPT — 双账户法</t>
        </is>
      </c>
    </row>
    <row r="54">
      <c r="A54" s="9" t="inlineStr">
        <is>
          <t>Line item</t>
        </is>
      </c>
      <c r="B54" s="9" t="inlineStr">
        <is>
          <t>T (今日)</t>
        </is>
      </c>
      <c r="C54" s="9" t="inlineStr">
        <is>
          <t>T-1D (前日)</t>
        </is>
      </c>
      <c r="D54" s="9" t="inlineStr">
        <is>
          <t>T-1W (上周)</t>
        </is>
      </c>
      <c r="E54" s="9" t="inlineStr">
        <is>
          <t>T-1M (上月)</t>
        </is>
      </c>
    </row>
    <row r="55">
      <c r="A55" s="10" t="inlineStr">
        <is>
          <t>Long Book — Allocated Capital 分配资本</t>
        </is>
      </c>
      <c r="B55" s="4" t="n">
        <v>96799.36</v>
      </c>
      <c r="C55" s="4" t="n">
        <v>95940</v>
      </c>
      <c r="D55" s="4" t="n">
        <v>90309.06</v>
      </c>
      <c r="E55" s="4" t="n">
        <v>117434.88</v>
      </c>
    </row>
    <row r="56">
      <c r="A56" s="12" t="inlineStr">
        <is>
          <t>Long Book — Cash 现金</t>
        </is>
      </c>
      <c r="B56" s="15" t="n">
        <v>0</v>
      </c>
      <c r="C56" s="15" t="n">
        <v>0</v>
      </c>
      <c r="D56" s="15" t="n">
        <v>0</v>
      </c>
      <c r="E56" s="15" t="n">
        <v>0</v>
      </c>
    </row>
    <row r="57">
      <c r="A57" s="10" t="inlineStr">
        <is>
          <t>Long Book — Market Value 市值</t>
        </is>
      </c>
      <c r="B57" s="4" t="n">
        <v>96799.36</v>
      </c>
      <c r="C57" s="4" t="n">
        <v>95940</v>
      </c>
      <c r="D57" s="4" t="n">
        <v>90309.06</v>
      </c>
      <c r="E57" s="4" t="n">
        <v>117434.88</v>
      </c>
    </row>
    <row r="58">
      <c r="A58" s="12" t="inlineStr">
        <is>
          <t>Long Book — Margin Loan 融资</t>
        </is>
      </c>
      <c r="B58" s="15" t="n">
        <v>0</v>
      </c>
      <c r="C58" s="15" t="n">
        <v>0</v>
      </c>
      <c r="D58" s="15" t="n">
        <v>0</v>
      </c>
      <c r="E58" s="15" t="n">
        <v>0</v>
      </c>
    </row>
    <row r="59">
      <c r="A59" s="16" t="inlineStr">
        <is>
          <t>Long Book — NAV</t>
        </is>
      </c>
      <c r="B59" s="4" t="n">
        <v>96799.36</v>
      </c>
      <c r="C59" s="4" t="n">
        <v>95940</v>
      </c>
      <c r="D59" s="4" t="n">
        <v>90309.06</v>
      </c>
      <c r="E59" s="4" t="n">
        <v>117434.88</v>
      </c>
    </row>
    <row r="60">
      <c r="A60" s="12" t="inlineStr">
        <is>
          <t>Short Book — Allocated Capital 分配资本</t>
        </is>
      </c>
      <c r="B60" s="13" t="n">
        <v>1751.44</v>
      </c>
      <c r="C60" s="13" t="n">
        <v>1691.97</v>
      </c>
      <c r="D60" s="13" t="n">
        <v>1742.28</v>
      </c>
      <c r="E60" s="13" t="n">
        <v>2443.89</v>
      </c>
    </row>
    <row r="61">
      <c r="A61" s="10" t="inlineStr">
        <is>
          <t>Short Book — Collateral 担保金</t>
        </is>
      </c>
      <c r="B61" s="4" t="n">
        <v>1751.44</v>
      </c>
      <c r="C61" s="4" t="n">
        <v>1691.97</v>
      </c>
      <c r="D61" s="4" t="n">
        <v>1742.28</v>
      </c>
      <c r="E61" s="4" t="n">
        <v>2443.89</v>
      </c>
    </row>
    <row r="62">
      <c r="A62" s="12" t="inlineStr">
        <is>
          <t>Short Book — Short Proceeds 做空收入</t>
        </is>
      </c>
      <c r="B62" s="13" t="n">
        <v>87572.16</v>
      </c>
      <c r="C62" s="13" t="n">
        <v>84598.34</v>
      </c>
      <c r="D62" s="13" t="n">
        <v>87114.08</v>
      </c>
      <c r="E62" s="13" t="n">
        <v>122194.66</v>
      </c>
    </row>
    <row r="63">
      <c r="A63" s="10" t="inlineStr">
        <is>
          <t>Short Book — Market Value 市值(负债)</t>
        </is>
      </c>
      <c r="B63" s="4" t="n">
        <v>87572.16</v>
      </c>
      <c r="C63" s="4" t="n">
        <v>84598.34</v>
      </c>
      <c r="D63" s="4" t="n">
        <v>87114.08</v>
      </c>
      <c r="E63" s="4" t="n">
        <v>122194.66</v>
      </c>
    </row>
    <row r="64">
      <c r="A64" s="12" t="inlineStr">
        <is>
          <t>Short Book — Margin Loan 融资(2%)</t>
        </is>
      </c>
      <c r="B64" s="15" t="n">
        <v>0</v>
      </c>
      <c r="C64" s="15" t="n">
        <v>0</v>
      </c>
      <c r="D64" s="15" t="n">
        <v>0</v>
      </c>
      <c r="E64" s="15" t="n">
        <v>0</v>
      </c>
    </row>
    <row r="65">
      <c r="A65" s="16" t="inlineStr">
        <is>
          <t>Short Book — NAV</t>
        </is>
      </c>
      <c r="B65" s="4" t="n">
        <v>1751.44</v>
      </c>
      <c r="C65" s="4" t="n">
        <v>1691.97</v>
      </c>
      <c r="D65" s="4" t="n">
        <v>1742.28</v>
      </c>
      <c r="E65" s="4" t="n">
        <v>2443.89</v>
      </c>
    </row>
    <row r="66">
      <c r="A66" s="12" t="inlineStr">
        <is>
          <t>Unallocated Cash 未分配现金</t>
        </is>
      </c>
      <c r="B66" s="13" t="n">
        <v>476144.43</v>
      </c>
      <c r="C66" s="13" t="n">
        <v>479480.23</v>
      </c>
      <c r="D66" s="13" t="n">
        <v>478281.59</v>
      </c>
      <c r="E66" s="13" t="n">
        <v>488152.17</v>
      </c>
    </row>
    <row r="67">
      <c r="A67" s="16" t="inlineStr">
        <is>
          <t>Dual-View NAV 双账户法NAV</t>
        </is>
      </c>
      <c r="B67" s="4" t="n">
        <v>574695.23</v>
      </c>
      <c r="C67" s="4" t="n">
        <v>577112.2</v>
      </c>
      <c r="D67" s="4" t="n">
        <v>570332.9300000001</v>
      </c>
      <c r="E67" s="4" t="n">
        <v>608030.9399999999</v>
      </c>
    </row>
    <row r="68">
      <c r="A68" s="12" t="inlineStr">
        <is>
          <t>NAV Alignment Check (≈0)</t>
        </is>
      </c>
      <c r="B68" s="17" t="n">
        <v>0</v>
      </c>
      <c r="C68" s="17" t="n">
        <v>0</v>
      </c>
      <c r="D68" s="17" t="n">
        <v>0</v>
      </c>
      <c r="E68" s="17" t="n">
        <v>0</v>
      </c>
    </row>
    <row r="71">
      <c r="A71" s="8" t="inlineStr">
        <is>
          <t>MTFS — 资产负债表法</t>
        </is>
      </c>
    </row>
    <row r="72">
      <c r="A72" s="9" t="inlineStr">
        <is>
          <t>Line item</t>
        </is>
      </c>
      <c r="B72" s="9" t="inlineStr">
        <is>
          <t>T (今日)</t>
        </is>
      </c>
      <c r="C72" s="9" t="inlineStr">
        <is>
          <t>T-1D (前日)</t>
        </is>
      </c>
      <c r="D72" s="9" t="inlineStr">
        <is>
          <t>T-1W (上周)</t>
        </is>
      </c>
      <c r="E72" s="9" t="inlineStr">
        <is>
          <t>T-1M (上月)</t>
        </is>
      </c>
    </row>
    <row r="73">
      <c r="A73" s="10" t="inlineStr">
        <is>
          <t>Free Cash 自由现金</t>
        </is>
      </c>
      <c r="B73" s="11" t="n">
        <v>0</v>
      </c>
      <c r="C73" s="11" t="n">
        <v>0</v>
      </c>
      <c r="D73" s="11" t="n">
        <v>0</v>
      </c>
      <c r="E73" s="11" t="n">
        <v>0</v>
      </c>
    </row>
    <row r="74">
      <c r="A74" s="12" t="inlineStr">
        <is>
          <t>Restricted Cash 受限现金 (PB 102%)</t>
        </is>
      </c>
      <c r="B74" s="13" t="n">
        <v>756527.1800000001</v>
      </c>
      <c r="C74" s="13" t="n">
        <v>913597.85</v>
      </c>
      <c r="D74" s="13" t="n">
        <v>785506</v>
      </c>
      <c r="E74" s="13" t="n">
        <v>711079.92</v>
      </c>
    </row>
    <row r="75">
      <c r="A75" s="10" t="inlineStr">
        <is>
          <t>Long Securities 多头证券</t>
        </is>
      </c>
      <c r="B75" s="4" t="n">
        <v>3869485.32</v>
      </c>
      <c r="C75" s="4" t="n">
        <v>3935266.54</v>
      </c>
      <c r="D75" s="4" t="n">
        <v>3858024.23</v>
      </c>
      <c r="E75" s="4" t="n">
        <v>567230.59</v>
      </c>
    </row>
    <row r="76">
      <c r="A76" s="14" t="inlineStr">
        <is>
          <t>Total Assets 总资产</t>
        </is>
      </c>
      <c r="B76" s="13" t="n">
        <v>4626012.5</v>
      </c>
      <c r="C76" s="13" t="n">
        <v>4848864.39</v>
      </c>
      <c r="D76" s="13" t="n">
        <v>4643530.23</v>
      </c>
      <c r="E76" s="13" t="n">
        <v>1278310.52</v>
      </c>
    </row>
    <row r="77">
      <c r="A77" s="10" t="inlineStr">
        <is>
          <t>Short Securities 空头证券 (义务)</t>
        </is>
      </c>
      <c r="B77" s="4" t="n">
        <v>741693.3100000001</v>
      </c>
      <c r="C77" s="4" t="n">
        <v>895684.17</v>
      </c>
      <c r="D77" s="4" t="n">
        <v>770103.92</v>
      </c>
      <c r="E77" s="4" t="n">
        <v>697137.1800000001</v>
      </c>
    </row>
    <row r="78">
      <c r="A78" s="12" t="inlineStr">
        <is>
          <t>Margin Loan 保证金借款</t>
        </is>
      </c>
      <c r="B78" s="13" t="n">
        <v>3347144.75</v>
      </c>
      <c r="C78" s="13" t="n">
        <v>3421734.37</v>
      </c>
      <c r="D78" s="13" t="n">
        <v>3452358.87</v>
      </c>
      <c r="E78" s="13" t="n">
        <v>156731.55</v>
      </c>
    </row>
    <row r="79">
      <c r="A79" s="16" t="inlineStr">
        <is>
          <t>Total Liabilities 总负债</t>
        </is>
      </c>
      <c r="B79" s="4" t="n">
        <v>4088838.06</v>
      </c>
      <c r="C79" s="4" t="n">
        <v>4317418.54</v>
      </c>
      <c r="D79" s="4" t="n">
        <v>4222462.79</v>
      </c>
      <c r="E79" s="4" t="n">
        <v>853868.73</v>
      </c>
    </row>
    <row r="80">
      <c r="A80" s="14" t="inlineStr">
        <is>
          <t>NAV (Equity) 净值 = TA - TL</t>
        </is>
      </c>
      <c r="B80" s="13" t="n">
        <v>537174.4399999999</v>
      </c>
      <c r="C80" s="13" t="n">
        <v>531445.85</v>
      </c>
      <c r="D80" s="13" t="n">
        <v>421067.44</v>
      </c>
      <c r="E80" s="13" t="n">
        <v>424441.79</v>
      </c>
    </row>
    <row r="81">
      <c r="A81" s="10" t="inlineStr">
        <is>
          <t>Gross Leverage 总杠杆 (x)</t>
        </is>
      </c>
      <c r="B81" s="7" t="n">
        <v>8.584</v>
      </c>
      <c r="C81" s="7" t="n">
        <v>9.09</v>
      </c>
      <c r="D81" s="7" t="n">
        <v>10.991</v>
      </c>
      <c r="E81" s="7" t="n">
        <v>2.979</v>
      </c>
    </row>
    <row r="82">
      <c r="A82" s="12" t="inlineStr">
        <is>
          <t>Net Leverage 净杠杆 (x)</t>
        </is>
      </c>
      <c r="B82" s="17" t="n">
        <v>5.823</v>
      </c>
      <c r="C82" s="17" t="n">
        <v>5.719</v>
      </c>
      <c r="D82" s="17" t="n">
        <v>7.334</v>
      </c>
      <c r="E82" s="17" t="n">
        <v>-0.306</v>
      </c>
    </row>
    <row r="83">
      <c r="A83" s="10" t="inlineStr">
        <is>
          <t>PM Requirement (20%)</t>
        </is>
      </c>
      <c r="B83" s="4" t="n">
        <v>922235.73</v>
      </c>
      <c r="C83" s="4" t="n">
        <v>966190.14</v>
      </c>
      <c r="D83" s="4" t="n">
        <v>925625.63</v>
      </c>
      <c r="E83" s="4" t="n">
        <v>252873.55</v>
      </c>
    </row>
    <row r="84">
      <c r="A84" s="12" t="inlineStr">
        <is>
          <t>Excess Liquidity 超额流动性</t>
        </is>
      </c>
      <c r="B84" s="18" t="n">
        <v>-385061.29</v>
      </c>
      <c r="C84" s="18" t="n">
        <v>-434744.29</v>
      </c>
      <c r="D84" s="18" t="n">
        <v>-504558.19</v>
      </c>
      <c r="E84" s="13" t="n">
        <v>171568.24</v>
      </c>
    </row>
    <row r="85">
      <c r="A85" s="10" t="inlineStr">
        <is>
          <t>Balance Check (≈0)</t>
        </is>
      </c>
      <c r="B85" s="7" t="n">
        <v>0</v>
      </c>
      <c r="C85" s="7" t="n">
        <v>0</v>
      </c>
      <c r="D85" s="7" t="n">
        <v>-0</v>
      </c>
      <c r="E85" s="7" t="n">
        <v>0</v>
      </c>
    </row>
    <row r="87">
      <c r="A87" s="8" t="inlineStr">
        <is>
          <t>MTFS — 双账户法</t>
        </is>
      </c>
    </row>
    <row r="88">
      <c r="A88" s="9" t="inlineStr">
        <is>
          <t>Line item</t>
        </is>
      </c>
      <c r="B88" s="9" t="inlineStr">
        <is>
          <t>T (今日)</t>
        </is>
      </c>
      <c r="C88" s="9" t="inlineStr">
        <is>
          <t>T-1D (前日)</t>
        </is>
      </c>
      <c r="D88" s="9" t="inlineStr">
        <is>
          <t>T-1W (上周)</t>
        </is>
      </c>
      <c r="E88" s="9" t="inlineStr">
        <is>
          <t>T-1M (上月)</t>
        </is>
      </c>
    </row>
    <row r="89">
      <c r="A89" s="10" t="inlineStr">
        <is>
          <t>Long Book — Allocated Capital 分配资本</t>
        </is>
      </c>
      <c r="B89" s="4" t="n">
        <v>537174.4399999999</v>
      </c>
      <c r="C89" s="4" t="n">
        <v>531445.85</v>
      </c>
      <c r="D89" s="4" t="n">
        <v>421067.44</v>
      </c>
      <c r="E89" s="4" t="n">
        <v>424441.79</v>
      </c>
    </row>
    <row r="90">
      <c r="A90" s="12" t="inlineStr">
        <is>
          <t>Long Book — Cash 现金</t>
        </is>
      </c>
      <c r="B90" s="15" t="n">
        <v>0</v>
      </c>
      <c r="C90" s="15" t="n">
        <v>0</v>
      </c>
      <c r="D90" s="15" t="n">
        <v>0</v>
      </c>
      <c r="E90" s="15" t="n">
        <v>0</v>
      </c>
    </row>
    <row r="91">
      <c r="A91" s="10" t="inlineStr">
        <is>
          <t>Long Book — Market Value 市值</t>
        </is>
      </c>
      <c r="B91" s="4" t="n">
        <v>3869485.32</v>
      </c>
      <c r="C91" s="4" t="n">
        <v>3935266.54</v>
      </c>
      <c r="D91" s="4" t="n">
        <v>3858024.23</v>
      </c>
      <c r="E91" s="4" t="n">
        <v>567230.59</v>
      </c>
    </row>
    <row r="92">
      <c r="A92" s="12" t="inlineStr">
        <is>
          <t>Long Book — Margin Loan 融资</t>
        </is>
      </c>
      <c r="B92" s="13" t="n">
        <v>3332310.88</v>
      </c>
      <c r="C92" s="13" t="n">
        <v>3403820.69</v>
      </c>
      <c r="D92" s="13" t="n">
        <v>3436956.79</v>
      </c>
      <c r="E92" s="13" t="n">
        <v>142788.8</v>
      </c>
    </row>
    <row r="93">
      <c r="A93" s="16" t="inlineStr">
        <is>
          <t>Long Book — NAV</t>
        </is>
      </c>
      <c r="B93" s="4" t="n">
        <v>537174.4399999999</v>
      </c>
      <c r="C93" s="4" t="n">
        <v>531445.85</v>
      </c>
      <c r="D93" s="4" t="n">
        <v>421067.44</v>
      </c>
      <c r="E93" s="4" t="n">
        <v>424441.79</v>
      </c>
    </row>
    <row r="94">
      <c r="A94" s="12" t="inlineStr">
        <is>
          <t>Short Book — Allocated Capital 分配资本</t>
        </is>
      </c>
      <c r="B94" s="15" t="n">
        <v>0</v>
      </c>
      <c r="C94" s="15" t="n">
        <v>0</v>
      </c>
      <c r="D94" s="15" t="n">
        <v>0</v>
      </c>
      <c r="E94" s="15" t="n">
        <v>0</v>
      </c>
    </row>
    <row r="95">
      <c r="A95" s="10" t="inlineStr">
        <is>
          <t>Short Book — Collateral 担保金</t>
        </is>
      </c>
      <c r="B95" s="11" t="n">
        <v>0</v>
      </c>
      <c r="C95" s="11" t="n">
        <v>0</v>
      </c>
      <c r="D95" s="11" t="n">
        <v>0</v>
      </c>
      <c r="E95" s="11" t="n">
        <v>0</v>
      </c>
    </row>
    <row r="96">
      <c r="A96" s="12" t="inlineStr">
        <is>
          <t>Short Book — Short Proceeds 做空收入</t>
        </is>
      </c>
      <c r="B96" s="13" t="n">
        <v>741693.3100000001</v>
      </c>
      <c r="C96" s="13" t="n">
        <v>895684.17</v>
      </c>
      <c r="D96" s="13" t="n">
        <v>770103.92</v>
      </c>
      <c r="E96" s="13" t="n">
        <v>697137.1800000001</v>
      </c>
    </row>
    <row r="97">
      <c r="A97" s="10" t="inlineStr">
        <is>
          <t>Short Book — Market Value 市值(负债)</t>
        </is>
      </c>
      <c r="B97" s="4" t="n">
        <v>741693.3100000001</v>
      </c>
      <c r="C97" s="4" t="n">
        <v>895684.17</v>
      </c>
      <c r="D97" s="4" t="n">
        <v>770103.92</v>
      </c>
      <c r="E97" s="4" t="n">
        <v>697137.1800000001</v>
      </c>
    </row>
    <row r="98">
      <c r="A98" s="12" t="inlineStr">
        <is>
          <t>Short Book — Margin Loan 融资(2%)</t>
        </is>
      </c>
      <c r="B98" s="13" t="n">
        <v>14833.87</v>
      </c>
      <c r="C98" s="13" t="n">
        <v>17913.68</v>
      </c>
      <c r="D98" s="13" t="n">
        <v>15402.08</v>
      </c>
      <c r="E98" s="13" t="n">
        <v>13942.74</v>
      </c>
    </row>
    <row r="99">
      <c r="A99" s="16" t="inlineStr">
        <is>
          <t>Short Book — NAV</t>
        </is>
      </c>
      <c r="B99" s="11" t="n">
        <v>0</v>
      </c>
      <c r="C99" s="11" t="n">
        <v>0</v>
      </c>
      <c r="D99" s="11" t="n">
        <v>0</v>
      </c>
      <c r="E99" s="11" t="n">
        <v>0</v>
      </c>
    </row>
    <row r="100">
      <c r="A100" s="12" t="inlineStr">
        <is>
          <t>Unallocated Cash 未分配现金</t>
        </is>
      </c>
      <c r="B100" s="15" t="n">
        <v>0</v>
      </c>
      <c r="C100" s="15" t="n">
        <v>-0</v>
      </c>
      <c r="D100" s="15" t="n">
        <v>0</v>
      </c>
      <c r="E100" s="15" t="n">
        <v>0</v>
      </c>
    </row>
    <row r="101">
      <c r="A101" s="16" t="inlineStr">
        <is>
          <t>Dual-View NAV 双账户法NAV</t>
        </is>
      </c>
      <c r="B101" s="4" t="n">
        <v>537174.4399999999</v>
      </c>
      <c r="C101" s="4" t="n">
        <v>531445.85</v>
      </c>
      <c r="D101" s="4" t="n">
        <v>421067.44</v>
      </c>
      <c r="E101" s="4" t="n">
        <v>424441.79</v>
      </c>
    </row>
    <row r="102">
      <c r="A102" s="12" t="inlineStr">
        <is>
          <t>NAV Alignment Check (≈0)</t>
        </is>
      </c>
      <c r="B102" s="17" t="n">
        <v>0</v>
      </c>
      <c r="C102" s="17" t="n">
        <v>0</v>
      </c>
      <c r="D102" s="17" t="n">
        <v>0</v>
      </c>
      <c r="E102" s="17" t="n">
        <v>0</v>
      </c>
    </row>
  </sheetData>
  <mergeCells count="1"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30" customWidth="1" min="1" max="1"/>
    <col width="16" customWidth="1" min="2" max="2"/>
    <col width="16" customWidth="1" min="3" max="3"/>
    <col width="16" customWidth="1" min="4" max="4"/>
    <col width="16" customWidth="1" min="5" max="5"/>
  </cols>
  <sheetData>
    <row r="1">
      <c r="A1" s="1" t="inlineStr">
        <is>
          <t>INCOME STATEMENT — 利润表 (net income authoritative)</t>
        </is>
      </c>
    </row>
    <row r="3">
      <c r="A3" s="8" t="inlineStr">
        <is>
          <t>COMBINED</t>
        </is>
      </c>
    </row>
    <row r="4">
      <c r="A4" s="9" t="inlineStr">
        <is>
          <t>Line item</t>
        </is>
      </c>
      <c r="B4" s="9" t="inlineStr">
        <is>
          <t>1D</t>
        </is>
      </c>
      <c r="C4" s="9" t="inlineStr">
        <is>
          <t>1W</t>
        </is>
      </c>
      <c r="D4" s="9" t="inlineStr">
        <is>
          <t>1M</t>
        </is>
      </c>
      <c r="E4" s="9" t="inlineStr">
        <is>
          <t>ITD</t>
        </is>
      </c>
    </row>
    <row r="5">
      <c r="A5" s="16" t="inlineStr">
        <is>
          <t>Net income</t>
        </is>
      </c>
      <c r="B5" s="4" t="n">
        <v>3311.62</v>
      </c>
      <c r="C5" s="4" t="n">
        <v>120469.3</v>
      </c>
      <c r="D5" s="4" t="n">
        <v>79396.92999999999</v>
      </c>
      <c r="E5" s="4" t="n">
        <v>190370.88</v>
      </c>
    </row>
    <row r="6">
      <c r="A6" s="12" t="inlineStr">
        <is>
          <t>Interest expense (est)</t>
        </is>
      </c>
      <c r="B6" s="13" t="n">
        <v>393.29</v>
      </c>
      <c r="C6" s="13" t="n">
        <v>1966.44</v>
      </c>
      <c r="D6" s="13" t="n">
        <v>8259.040000000001</v>
      </c>
      <c r="E6" s="13" t="n">
        <v>58206.58</v>
      </c>
    </row>
    <row r="7">
      <c r="A7" s="10" t="inlineStr">
        <is>
          <t>Current unrealized PnL</t>
        </is>
      </c>
      <c r="B7" s="4" t="n">
        <v>2233436.73</v>
      </c>
    </row>
    <row r="9">
      <c r="A9" s="8" t="inlineStr">
        <is>
          <t>MRPT</t>
        </is>
      </c>
    </row>
    <row r="10">
      <c r="A10" s="9" t="inlineStr">
        <is>
          <t>Line item</t>
        </is>
      </c>
      <c r="B10" s="9" t="inlineStr">
        <is>
          <t>1D</t>
        </is>
      </c>
      <c r="C10" s="9" t="inlineStr">
        <is>
          <t>1W</t>
        </is>
      </c>
      <c r="D10" s="9" t="inlineStr">
        <is>
          <t>1M</t>
        </is>
      </c>
      <c r="E10" s="9" t="inlineStr">
        <is>
          <t>ITD</t>
        </is>
      </c>
    </row>
    <row r="11">
      <c r="A11" s="16" t="inlineStr">
        <is>
          <t>Net income</t>
        </is>
      </c>
      <c r="B11" s="19" t="n">
        <v>-2416.97</v>
      </c>
      <c r="C11" s="4" t="n">
        <v>4362.3</v>
      </c>
      <c r="D11" s="19" t="n">
        <v>-33335.71</v>
      </c>
      <c r="E11" s="4" t="n">
        <v>65363.29</v>
      </c>
    </row>
    <row r="12">
      <c r="A12" s="12" t="inlineStr">
        <is>
          <t>Interest expense (est)</t>
        </is>
      </c>
      <c r="B12" s="15" t="n">
        <v>0</v>
      </c>
      <c r="C12" s="15" t="n">
        <v>0</v>
      </c>
      <c r="D12" s="15" t="n">
        <v>0</v>
      </c>
      <c r="E12" s="15" t="n">
        <v>0</v>
      </c>
    </row>
    <row r="13">
      <c r="A13" s="10" t="inlineStr">
        <is>
          <t>Current unrealized PnL</t>
        </is>
      </c>
      <c r="B13" s="4" t="n">
        <v>10977.58</v>
      </c>
    </row>
    <row r="15">
      <c r="A15" s="8" t="inlineStr">
        <is>
          <t>MTFS</t>
        </is>
      </c>
    </row>
    <row r="16">
      <c r="A16" s="9" t="inlineStr">
        <is>
          <t>Line item</t>
        </is>
      </c>
      <c r="B16" s="9" t="inlineStr">
        <is>
          <t>1D</t>
        </is>
      </c>
      <c r="C16" s="9" t="inlineStr">
        <is>
          <t>1W</t>
        </is>
      </c>
      <c r="D16" s="9" t="inlineStr">
        <is>
          <t>1M</t>
        </is>
      </c>
      <c r="E16" s="9" t="inlineStr">
        <is>
          <t>ITD</t>
        </is>
      </c>
    </row>
    <row r="17">
      <c r="A17" s="16" t="inlineStr">
        <is>
          <t>Net income</t>
        </is>
      </c>
      <c r="B17" s="4" t="n">
        <v>5728.59</v>
      </c>
      <c r="C17" s="4" t="n">
        <v>116107</v>
      </c>
      <c r="D17" s="4" t="n">
        <v>112732.65</v>
      </c>
      <c r="E17" s="4" t="n">
        <v>125007.59</v>
      </c>
    </row>
    <row r="18">
      <c r="A18" s="12" t="inlineStr">
        <is>
          <t>Interest expense (est)</t>
        </is>
      </c>
      <c r="B18" s="13" t="n">
        <v>458.51</v>
      </c>
      <c r="C18" s="13" t="n">
        <v>2292.56</v>
      </c>
      <c r="D18" s="13" t="n">
        <v>9628.77</v>
      </c>
      <c r="E18" s="13" t="n">
        <v>67859.92</v>
      </c>
    </row>
    <row r="19">
      <c r="A19" s="10" t="inlineStr">
        <is>
          <t>Current unrealized PnL</t>
        </is>
      </c>
      <c r="B19" s="4" t="n">
        <v>2222459.15</v>
      </c>
    </row>
    <row r="21">
      <c r="A21" s="2" t="inlineStr">
        <is>
          <t>Note: net_income authoritative (strategy_performance); interest estimated on current margin; unrealized exact from inventory open prices.</t>
        </is>
      </c>
    </row>
  </sheetData>
  <mergeCells count="1"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6" customWidth="1" min="4" max="4"/>
    <col width="16" customWidth="1" min="5" max="5"/>
  </cols>
  <sheetData>
    <row r="1">
      <c r="A1" s="1" t="inlineStr">
        <is>
          <t>STATEMENT OF CHANGES IN CAPITAL — 资本变动表</t>
        </is>
      </c>
    </row>
    <row r="3">
      <c r="A3" s="8" t="inlineStr">
        <is>
          <t>COMBINED</t>
        </is>
      </c>
    </row>
    <row r="4">
      <c r="A4" s="9" t="inlineStr">
        <is>
          <t>Line item</t>
        </is>
      </c>
      <c r="B4" s="9" t="inlineStr">
        <is>
          <t>1D</t>
        </is>
      </c>
      <c r="C4" s="9" t="inlineStr">
        <is>
          <t>1W</t>
        </is>
      </c>
      <c r="D4" s="9" t="inlineStr">
        <is>
          <t>1M</t>
        </is>
      </c>
      <c r="E4" s="9" t="inlineStr">
        <is>
          <t>ITD</t>
        </is>
      </c>
    </row>
    <row r="5">
      <c r="A5" s="16" t="inlineStr">
        <is>
          <t>Beginning NAV</t>
        </is>
      </c>
      <c r="B5" s="4" t="n">
        <v>1108558.05</v>
      </c>
      <c r="C5" s="4" t="n">
        <v>991400.37</v>
      </c>
      <c r="D5" s="4" t="n">
        <v>1032472.74</v>
      </c>
      <c r="E5" s="4" t="n">
        <v>921498.79</v>
      </c>
    </row>
    <row r="6">
      <c r="A6" s="12" t="inlineStr">
        <is>
          <t>Net income</t>
        </is>
      </c>
      <c r="B6" s="13" t="n">
        <v>3311.62</v>
      </c>
      <c r="C6" s="13" t="n">
        <v>120469.3</v>
      </c>
      <c r="D6" s="13" t="n">
        <v>79396.92999999999</v>
      </c>
      <c r="E6" s="13" t="n">
        <v>190370.88</v>
      </c>
    </row>
    <row r="7">
      <c r="A7" s="10" t="inlineStr">
        <is>
          <t>Contributions</t>
        </is>
      </c>
      <c r="B7" s="11" t="n">
        <v>0</v>
      </c>
      <c r="C7" s="11" t="n">
        <v>0</v>
      </c>
      <c r="D7" s="11" t="n">
        <v>0</v>
      </c>
      <c r="E7" s="11" t="n">
        <v>0</v>
      </c>
    </row>
    <row r="8">
      <c r="A8" s="12" t="inlineStr">
        <is>
          <t>Withdrawals</t>
        </is>
      </c>
      <c r="B8" s="15" t="n">
        <v>0</v>
      </c>
      <c r="C8" s="15" t="n">
        <v>0</v>
      </c>
      <c r="D8" s="15" t="n">
        <v>0</v>
      </c>
      <c r="E8" s="15" t="n">
        <v>0</v>
      </c>
    </row>
    <row r="9">
      <c r="A9" s="16" t="inlineStr">
        <is>
          <t>Ending NAV</t>
        </is>
      </c>
      <c r="B9" s="4" t="n">
        <v>1111869.67</v>
      </c>
      <c r="C9" s="4" t="n">
        <v>1111869.67</v>
      </c>
      <c r="D9" s="4" t="n">
        <v>1111869.67</v>
      </c>
      <c r="E9" s="4" t="n">
        <v>1111869.67</v>
      </c>
    </row>
    <row r="10">
      <c r="A10" s="12" t="inlineStr">
        <is>
          <t>Return (%)</t>
        </is>
      </c>
      <c r="B10" s="20" t="n">
        <v>0.3</v>
      </c>
      <c r="C10" s="20" t="n">
        <v>12.15</v>
      </c>
      <c r="D10" s="20" t="n">
        <v>7.69</v>
      </c>
      <c r="E10" s="20" t="n">
        <v>20.66</v>
      </c>
    </row>
    <row r="11">
      <c r="A11" s="10" t="inlineStr">
        <is>
          <t>Max drawdown (%)</t>
        </is>
      </c>
      <c r="B11" s="21" t="n">
        <v>0</v>
      </c>
      <c r="C11" s="22" t="n">
        <v>-0.22</v>
      </c>
      <c r="D11" s="22" t="n">
        <v>-4.84</v>
      </c>
      <c r="E11" s="22" t="n">
        <v>-9.470000000000001</v>
      </c>
    </row>
    <row r="13">
      <c r="A13" s="8" t="inlineStr">
        <is>
          <t>MRPT</t>
        </is>
      </c>
    </row>
    <row r="14">
      <c r="A14" s="9" t="inlineStr">
        <is>
          <t>Line item</t>
        </is>
      </c>
      <c r="B14" s="9" t="inlineStr">
        <is>
          <t>1D</t>
        </is>
      </c>
      <c r="C14" s="9" t="inlineStr">
        <is>
          <t>1W</t>
        </is>
      </c>
      <c r="D14" s="9" t="inlineStr">
        <is>
          <t>1M</t>
        </is>
      </c>
      <c r="E14" s="9" t="inlineStr">
        <is>
          <t>ITD</t>
        </is>
      </c>
    </row>
    <row r="15">
      <c r="A15" s="16" t="inlineStr">
        <is>
          <t>Beginning NAV</t>
        </is>
      </c>
      <c r="B15" s="4" t="n">
        <v>577112.2</v>
      </c>
      <c r="C15" s="4" t="n">
        <v>570332.9300000001</v>
      </c>
      <c r="D15" s="4" t="n">
        <v>608030.9399999999</v>
      </c>
      <c r="E15" s="4" t="n">
        <v>509331.94</v>
      </c>
    </row>
    <row r="16">
      <c r="A16" s="12" t="inlineStr">
        <is>
          <t>Net income</t>
        </is>
      </c>
      <c r="B16" s="18" t="n">
        <v>-2416.97</v>
      </c>
      <c r="C16" s="13" t="n">
        <v>4362.3</v>
      </c>
      <c r="D16" s="18" t="n">
        <v>-33335.71</v>
      </c>
      <c r="E16" s="13" t="n">
        <v>65363.29</v>
      </c>
    </row>
    <row r="17">
      <c r="A17" s="10" t="inlineStr">
        <is>
          <t>Contributions</t>
        </is>
      </c>
      <c r="B17" s="11" t="n">
        <v>0</v>
      </c>
      <c r="C17" s="11" t="n">
        <v>0</v>
      </c>
      <c r="D17" s="11" t="n">
        <v>0</v>
      </c>
      <c r="E17" s="11" t="n">
        <v>0</v>
      </c>
    </row>
    <row r="18">
      <c r="A18" s="12" t="inlineStr">
        <is>
          <t>Withdrawals</t>
        </is>
      </c>
      <c r="B18" s="15" t="n">
        <v>0</v>
      </c>
      <c r="C18" s="15" t="n">
        <v>0</v>
      </c>
      <c r="D18" s="15" t="n">
        <v>0</v>
      </c>
      <c r="E18" s="15" t="n">
        <v>0</v>
      </c>
    </row>
    <row r="19">
      <c r="A19" s="16" t="inlineStr">
        <is>
          <t>Ending NAV</t>
        </is>
      </c>
      <c r="B19" s="4" t="n">
        <v>574695.23</v>
      </c>
      <c r="C19" s="4" t="n">
        <v>574695.23</v>
      </c>
      <c r="D19" s="4" t="n">
        <v>574695.23</v>
      </c>
      <c r="E19" s="4" t="n">
        <v>574695.23</v>
      </c>
    </row>
    <row r="20">
      <c r="A20" s="12" t="inlineStr">
        <is>
          <t>Return (%)</t>
        </is>
      </c>
      <c r="B20" s="23" t="n">
        <v>-0.42</v>
      </c>
      <c r="C20" s="20" t="n">
        <v>0.76</v>
      </c>
      <c r="D20" s="23" t="n">
        <v>-5.48</v>
      </c>
      <c r="E20" s="20" t="n">
        <v>12.83</v>
      </c>
    </row>
    <row r="21">
      <c r="A21" s="10" t="inlineStr">
        <is>
          <t>Max drawdown (%)</t>
        </is>
      </c>
      <c r="B21" s="22" t="n">
        <v>-0.42</v>
      </c>
      <c r="C21" s="22" t="n">
        <v>-0.44</v>
      </c>
      <c r="D21" s="22" t="n">
        <v>-7.18</v>
      </c>
      <c r="E21" s="22" t="n">
        <v>-9.550000000000001</v>
      </c>
    </row>
    <row r="23">
      <c r="A23" s="8" t="inlineStr">
        <is>
          <t>MTFS</t>
        </is>
      </c>
    </row>
    <row r="24">
      <c r="A24" s="9" t="inlineStr">
        <is>
          <t>Line item</t>
        </is>
      </c>
      <c r="B24" s="9" t="inlineStr">
        <is>
          <t>1D</t>
        </is>
      </c>
      <c r="C24" s="9" t="inlineStr">
        <is>
          <t>1W</t>
        </is>
      </c>
      <c r="D24" s="9" t="inlineStr">
        <is>
          <t>1M</t>
        </is>
      </c>
      <c r="E24" s="9" t="inlineStr">
        <is>
          <t>ITD</t>
        </is>
      </c>
    </row>
    <row r="25">
      <c r="A25" s="16" t="inlineStr">
        <is>
          <t>Beginning NAV</t>
        </is>
      </c>
      <c r="B25" s="4" t="n">
        <v>531445.85</v>
      </c>
      <c r="C25" s="4" t="n">
        <v>421067.44</v>
      </c>
      <c r="D25" s="4" t="n">
        <v>424441.79</v>
      </c>
      <c r="E25" s="4" t="n">
        <v>412166.85</v>
      </c>
    </row>
    <row r="26">
      <c r="A26" s="12" t="inlineStr">
        <is>
          <t>Net income</t>
        </is>
      </c>
      <c r="B26" s="13" t="n">
        <v>5728.59</v>
      </c>
      <c r="C26" s="13" t="n">
        <v>116107</v>
      </c>
      <c r="D26" s="13" t="n">
        <v>112732.65</v>
      </c>
      <c r="E26" s="13" t="n">
        <v>125007.59</v>
      </c>
    </row>
    <row r="27">
      <c r="A27" s="10" t="inlineStr">
        <is>
          <t>Contributions</t>
        </is>
      </c>
      <c r="B27" s="11" t="n">
        <v>0</v>
      </c>
      <c r="C27" s="11" t="n">
        <v>0</v>
      </c>
      <c r="D27" s="11" t="n">
        <v>0</v>
      </c>
      <c r="E27" s="11" t="n">
        <v>0</v>
      </c>
    </row>
    <row r="28">
      <c r="A28" s="12" t="inlineStr">
        <is>
          <t>Withdrawals</t>
        </is>
      </c>
      <c r="B28" s="15" t="n">
        <v>0</v>
      </c>
      <c r="C28" s="15" t="n">
        <v>0</v>
      </c>
      <c r="D28" s="15" t="n">
        <v>0</v>
      </c>
      <c r="E28" s="15" t="n">
        <v>0</v>
      </c>
    </row>
    <row r="29">
      <c r="A29" s="16" t="inlineStr">
        <is>
          <t>Ending NAV</t>
        </is>
      </c>
      <c r="B29" s="4" t="n">
        <v>537174.4399999999</v>
      </c>
      <c r="C29" s="4" t="n">
        <v>537174.4399999999</v>
      </c>
      <c r="D29" s="4" t="n">
        <v>537174.4399999999</v>
      </c>
      <c r="E29" s="4" t="n">
        <v>537174.4399999999</v>
      </c>
    </row>
    <row r="30">
      <c r="A30" s="12" t="inlineStr">
        <is>
          <t>Return (%)</t>
        </is>
      </c>
      <c r="B30" s="20" t="n">
        <v>1.08</v>
      </c>
      <c r="C30" s="20" t="n">
        <v>27.57</v>
      </c>
      <c r="D30" s="20" t="n">
        <v>26.56</v>
      </c>
      <c r="E30" s="20" t="n">
        <v>30.33</v>
      </c>
    </row>
    <row r="31">
      <c r="A31" s="10" t="inlineStr">
        <is>
          <t>Max drawdown (%)</t>
        </is>
      </c>
      <c r="B31" s="21" t="n">
        <v>0</v>
      </c>
      <c r="C31" s="22" t="n">
        <v>-1.45</v>
      </c>
      <c r="D31" s="22" t="n">
        <v>-7.46</v>
      </c>
      <c r="E31" s="22" t="n">
        <v>-16.75</v>
      </c>
    </row>
  </sheetData>
  <mergeCells count="1">
    <mergeCell ref="A1:F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</cols>
  <sheetData>
    <row r="1">
      <c r="A1" s="1" t="inlineStr">
        <is>
          <t>CASH FLOW STATEMENT — 现金流量表 (indirect, approximate)</t>
        </is>
      </c>
    </row>
    <row r="3">
      <c r="A3" s="3" t="inlineStr">
        <is>
          <t>Period</t>
        </is>
      </c>
      <c r="B3" s="7" t="inlineStr">
        <is>
          <t>1 week</t>
        </is>
      </c>
    </row>
    <row r="4">
      <c r="A4" s="3" t="inlineStr">
        <is>
          <t>Operating cash flow</t>
        </is>
      </c>
      <c r="B4" s="4" t="n">
        <v>120469.3</v>
      </c>
    </row>
    <row r="5">
      <c r="A5" s="3" t="inlineStr">
        <is>
          <t>Investing cash flow</t>
        </is>
      </c>
      <c r="B5" s="19" t="n">
        <v>-45903.92</v>
      </c>
    </row>
    <row r="6">
      <c r="A6" s="3" t="inlineStr">
        <is>
          <t>Financing cash flow</t>
        </is>
      </c>
      <c r="B6" s="19" t="n">
        <v>-103076.96</v>
      </c>
    </row>
    <row r="7">
      <c r="A7" s="3" t="inlineStr">
        <is>
          <t>Net change in cash</t>
        </is>
      </c>
      <c r="B7" s="19" t="n">
        <v>-28511.58</v>
      </c>
    </row>
    <row r="8">
      <c r="A8" s="3" t="inlineStr">
        <is>
          <t>Beginning cash</t>
        </is>
      </c>
      <c r="B8" s="6" t="n">
        <v>0</v>
      </c>
    </row>
    <row r="9">
      <c r="A9" s="3" t="inlineStr">
        <is>
          <t>Ending cash</t>
        </is>
      </c>
      <c r="B9" s="6" t="n">
        <v>0</v>
      </c>
    </row>
    <row r="11">
      <c r="A11" s="2" t="inlineStr">
        <is>
          <t>indirect-method; operating=ΔNAV (interest already in net income, shown as memo)</t>
        </is>
      </c>
    </row>
  </sheetData>
  <mergeCells count="1">
    <mergeCell ref="A1:D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51"/>
  <sheetViews>
    <sheetView workbookViewId="0">
      <selection activeCell="A1" sqref="A1"/>
    </sheetView>
  </sheetViews>
  <sheetFormatPr baseColWidth="8" defaultRowHeight="15"/>
  <cols>
    <col width="16" customWidth="1" min="1" max="1"/>
    <col width="18" customWidth="1" min="2" max="2"/>
  </cols>
  <sheetData>
    <row r="1">
      <c r="A1" s="1" t="inlineStr">
        <is>
          <t>NAV TREND — 净值趋势 (combined)</t>
        </is>
      </c>
    </row>
    <row r="3">
      <c r="A3" s="9" t="inlineStr">
        <is>
          <t>Date</t>
        </is>
      </c>
      <c r="B3" s="9" t="inlineStr">
        <is>
          <t>NAV</t>
        </is>
      </c>
    </row>
    <row r="4">
      <c r="A4" s="10" t="inlineStr">
        <is>
          <t>2025-11-11</t>
        </is>
      </c>
      <c r="B4" s="4" t="n">
        <v>921498.79</v>
      </c>
    </row>
    <row r="5">
      <c r="A5" s="12" t="inlineStr">
        <is>
          <t>2025-11-12</t>
        </is>
      </c>
      <c r="B5" s="13" t="n">
        <v>920145.52</v>
      </c>
    </row>
    <row r="6">
      <c r="A6" s="10" t="inlineStr">
        <is>
          <t>2025-11-13</t>
        </is>
      </c>
      <c r="B6" s="4" t="n">
        <v>928750.84</v>
      </c>
    </row>
    <row r="7">
      <c r="A7" s="12" t="inlineStr">
        <is>
          <t>2025-11-14</t>
        </is>
      </c>
      <c r="B7" s="13" t="n">
        <v>927421.01</v>
      </c>
    </row>
    <row r="8">
      <c r="A8" s="10" t="inlineStr">
        <is>
          <t>2025-11-17</t>
        </is>
      </c>
      <c r="B8" s="4" t="n">
        <v>923804.37</v>
      </c>
    </row>
    <row r="9">
      <c r="A9" s="12" t="inlineStr">
        <is>
          <t>2025-11-18</t>
        </is>
      </c>
      <c r="B9" s="13" t="n">
        <v>928726.75</v>
      </c>
    </row>
    <row r="10">
      <c r="A10" s="10" t="inlineStr">
        <is>
          <t>2025-11-19</t>
        </is>
      </c>
      <c r="B10" s="4" t="n">
        <v>933367.67</v>
      </c>
    </row>
    <row r="11">
      <c r="A11" s="12" t="inlineStr">
        <is>
          <t>2025-11-20</t>
        </is>
      </c>
      <c r="B11" s="13" t="n">
        <v>933949</v>
      </c>
    </row>
    <row r="12">
      <c r="A12" s="10" t="inlineStr">
        <is>
          <t>2025-11-21</t>
        </is>
      </c>
      <c r="B12" s="4" t="n">
        <v>934960.8100000001</v>
      </c>
    </row>
    <row r="13">
      <c r="A13" s="12" t="inlineStr">
        <is>
          <t>2025-11-24</t>
        </is>
      </c>
      <c r="B13" s="13" t="n">
        <v>936362.95</v>
      </c>
    </row>
    <row r="14">
      <c r="A14" s="10" t="inlineStr">
        <is>
          <t>2025-11-25</t>
        </is>
      </c>
      <c r="B14" s="4" t="n">
        <v>938897.52</v>
      </c>
    </row>
    <row r="15">
      <c r="A15" s="12" t="inlineStr">
        <is>
          <t>2025-11-26</t>
        </is>
      </c>
      <c r="B15" s="13" t="n">
        <v>940311.95</v>
      </c>
    </row>
    <row r="16">
      <c r="A16" s="10" t="inlineStr">
        <is>
          <t>2025-11-27</t>
        </is>
      </c>
      <c r="B16" s="4" t="n">
        <v>940681.79</v>
      </c>
    </row>
    <row r="17">
      <c r="A17" s="12" t="inlineStr">
        <is>
          <t>2025-11-28</t>
        </is>
      </c>
      <c r="B17" s="13" t="n">
        <v>941097.3</v>
      </c>
    </row>
    <row r="18">
      <c r="A18" s="10" t="inlineStr">
        <is>
          <t>2025-12-01</t>
        </is>
      </c>
      <c r="B18" s="4" t="n">
        <v>943777.26</v>
      </c>
    </row>
    <row r="19">
      <c r="A19" s="12" t="inlineStr">
        <is>
          <t>2025-12-02</t>
        </is>
      </c>
      <c r="B19" s="13" t="n">
        <v>941789.37</v>
      </c>
    </row>
    <row r="20">
      <c r="A20" s="10" t="inlineStr">
        <is>
          <t>2025-12-03</t>
        </is>
      </c>
      <c r="B20" s="4" t="n">
        <v>943549.6899999999</v>
      </c>
    </row>
    <row r="21">
      <c r="A21" s="12" t="inlineStr">
        <is>
          <t>2025-12-04</t>
        </is>
      </c>
      <c r="B21" s="13" t="n">
        <v>944624.55</v>
      </c>
    </row>
    <row r="22">
      <c r="A22" s="10" t="inlineStr">
        <is>
          <t>2025-12-05</t>
        </is>
      </c>
      <c r="B22" s="4" t="n">
        <v>951900.26</v>
      </c>
    </row>
    <row r="23">
      <c r="A23" s="12" t="inlineStr">
        <is>
          <t>2025-12-08</t>
        </is>
      </c>
      <c r="B23" s="13" t="n">
        <v>951149.48</v>
      </c>
    </row>
    <row r="24">
      <c r="A24" s="10" t="inlineStr">
        <is>
          <t>2025-12-09</t>
        </is>
      </c>
      <c r="B24" s="4" t="n">
        <v>943663.66</v>
      </c>
    </row>
    <row r="25">
      <c r="A25" s="12" t="inlineStr">
        <is>
          <t>2025-12-10</t>
        </is>
      </c>
      <c r="B25" s="13" t="n">
        <v>939789.53</v>
      </c>
    </row>
    <row r="26">
      <c r="A26" s="10" t="inlineStr">
        <is>
          <t>2025-12-11</t>
        </is>
      </c>
      <c r="B26" s="4" t="n">
        <v>947233.42</v>
      </c>
    </row>
    <row r="27">
      <c r="A27" s="12" t="inlineStr">
        <is>
          <t>2025-12-12</t>
        </is>
      </c>
      <c r="B27" s="13" t="n">
        <v>944781.13</v>
      </c>
    </row>
    <row r="28">
      <c r="A28" s="10" t="inlineStr">
        <is>
          <t>2025-12-15</t>
        </is>
      </c>
      <c r="B28" s="4" t="n">
        <v>950154.39</v>
      </c>
    </row>
    <row r="29">
      <c r="A29" s="12" t="inlineStr">
        <is>
          <t>2025-12-16</t>
        </is>
      </c>
      <c r="B29" s="13" t="n">
        <v>954730.49</v>
      </c>
    </row>
    <row r="30">
      <c r="A30" s="10" t="inlineStr">
        <is>
          <t>2025-12-17</t>
        </is>
      </c>
      <c r="B30" s="4" t="n">
        <v>958238.22</v>
      </c>
    </row>
    <row r="31">
      <c r="A31" s="12" t="inlineStr">
        <is>
          <t>2025-12-18</t>
        </is>
      </c>
      <c r="B31" s="13" t="n">
        <v>961829.1899999999</v>
      </c>
    </row>
    <row r="32">
      <c r="A32" s="10" t="inlineStr">
        <is>
          <t>2025-12-19</t>
        </is>
      </c>
      <c r="B32" s="4" t="n">
        <v>969233.8199999999</v>
      </c>
    </row>
    <row r="33">
      <c r="A33" s="12" t="inlineStr">
        <is>
          <t>2025-12-22</t>
        </is>
      </c>
      <c r="B33" s="13" t="n">
        <v>978293.3</v>
      </c>
    </row>
    <row r="34">
      <c r="A34" s="10" t="inlineStr">
        <is>
          <t>2025-12-23</t>
        </is>
      </c>
      <c r="B34" s="4" t="n">
        <v>972557.1800000001</v>
      </c>
    </row>
    <row r="35">
      <c r="A35" s="12" t="inlineStr">
        <is>
          <t>2025-12-24</t>
        </is>
      </c>
      <c r="B35" s="13" t="n">
        <v>977055.9</v>
      </c>
    </row>
    <row r="36">
      <c r="A36" s="10" t="inlineStr">
        <is>
          <t>2025-12-25</t>
        </is>
      </c>
      <c r="B36" s="4" t="n">
        <v>973847.77</v>
      </c>
    </row>
    <row r="37">
      <c r="A37" s="12" t="inlineStr">
        <is>
          <t>2025-12-26</t>
        </is>
      </c>
      <c r="B37" s="13" t="n">
        <v>973458.4300000001</v>
      </c>
    </row>
    <row r="38">
      <c r="A38" s="10" t="inlineStr">
        <is>
          <t>2025-12-29</t>
        </is>
      </c>
      <c r="B38" s="4" t="n">
        <v>967772.12</v>
      </c>
    </row>
    <row r="39">
      <c r="A39" s="12" t="inlineStr">
        <is>
          <t>2025-12-30</t>
        </is>
      </c>
      <c r="B39" s="13" t="n">
        <v>968757.9399999999</v>
      </c>
    </row>
    <row r="40">
      <c r="A40" s="10" t="inlineStr">
        <is>
          <t>2025-12-31</t>
        </is>
      </c>
      <c r="B40" s="4" t="n">
        <v>971091.25</v>
      </c>
    </row>
    <row r="41">
      <c r="A41" s="12" t="inlineStr">
        <is>
          <t>2026-01-01</t>
        </is>
      </c>
      <c r="B41" s="13" t="n">
        <v>972516.5</v>
      </c>
    </row>
    <row r="42">
      <c r="A42" s="10" t="inlineStr">
        <is>
          <t>2026-01-02</t>
        </is>
      </c>
      <c r="B42" s="4" t="n">
        <v>973249.78</v>
      </c>
    </row>
    <row r="43">
      <c r="A43" s="12" t="inlineStr">
        <is>
          <t>2026-01-05</t>
        </is>
      </c>
      <c r="B43" s="13" t="n">
        <v>976858.89</v>
      </c>
    </row>
    <row r="44">
      <c r="A44" s="10" t="inlineStr">
        <is>
          <t>2026-01-06</t>
        </is>
      </c>
      <c r="B44" s="4" t="n">
        <v>974282.54</v>
      </c>
    </row>
    <row r="45">
      <c r="A45" s="12" t="inlineStr">
        <is>
          <t>2026-01-07</t>
        </is>
      </c>
      <c r="B45" s="13" t="n">
        <v>973465.79</v>
      </c>
    </row>
    <row r="46">
      <c r="A46" s="10" t="inlineStr">
        <is>
          <t>2026-01-08</t>
        </is>
      </c>
      <c r="B46" s="4" t="n">
        <v>972480.84</v>
      </c>
    </row>
    <row r="47">
      <c r="A47" s="12" t="inlineStr">
        <is>
          <t>2026-01-09</t>
        </is>
      </c>
      <c r="B47" s="13" t="n">
        <v>970815.36</v>
      </c>
    </row>
    <row r="48">
      <c r="A48" s="10" t="inlineStr">
        <is>
          <t>2026-01-12</t>
        </is>
      </c>
      <c r="B48" s="4" t="n">
        <v>973267.34</v>
      </c>
    </row>
    <row r="49">
      <c r="A49" s="12" t="inlineStr">
        <is>
          <t>2026-01-13</t>
        </is>
      </c>
      <c r="B49" s="13" t="n">
        <v>969652.23</v>
      </c>
    </row>
    <row r="50">
      <c r="A50" s="10" t="inlineStr">
        <is>
          <t>2026-01-14</t>
        </is>
      </c>
      <c r="B50" s="4" t="n">
        <v>966421.4399999999</v>
      </c>
    </row>
    <row r="51">
      <c r="A51" s="12" t="inlineStr">
        <is>
          <t>2026-01-15</t>
        </is>
      </c>
      <c r="B51" s="13" t="n">
        <v>960219.95</v>
      </c>
    </row>
    <row r="52">
      <c r="A52" s="10" t="inlineStr">
        <is>
          <t>2026-01-16</t>
        </is>
      </c>
      <c r="B52" s="4" t="n">
        <v>955914.71</v>
      </c>
    </row>
    <row r="53">
      <c r="A53" s="12" t="inlineStr">
        <is>
          <t>2026-01-19</t>
        </is>
      </c>
      <c r="B53" s="13" t="n">
        <v>960177.36</v>
      </c>
    </row>
    <row r="54">
      <c r="A54" s="10" t="inlineStr">
        <is>
          <t>2026-01-20</t>
        </is>
      </c>
      <c r="B54" s="4" t="n">
        <v>963985.24</v>
      </c>
    </row>
    <row r="55">
      <c r="A55" s="12" t="inlineStr">
        <is>
          <t>2026-01-21</t>
        </is>
      </c>
      <c r="B55" s="13" t="n">
        <v>957348.36</v>
      </c>
    </row>
    <row r="56">
      <c r="A56" s="10" t="inlineStr">
        <is>
          <t>2026-01-22</t>
        </is>
      </c>
      <c r="B56" s="4" t="n">
        <v>958729.79</v>
      </c>
    </row>
    <row r="57">
      <c r="A57" s="12" t="inlineStr">
        <is>
          <t>2026-01-23</t>
        </is>
      </c>
      <c r="B57" s="13" t="n">
        <v>953553.38</v>
      </c>
    </row>
    <row r="58">
      <c r="A58" s="10" t="inlineStr">
        <is>
          <t>2026-01-26</t>
        </is>
      </c>
      <c r="B58" s="4" t="n">
        <v>956725.72</v>
      </c>
    </row>
    <row r="59">
      <c r="A59" s="12" t="inlineStr">
        <is>
          <t>2026-01-27</t>
        </is>
      </c>
      <c r="B59" s="13" t="n">
        <v>961513.53</v>
      </c>
    </row>
    <row r="60">
      <c r="A60" s="10" t="inlineStr">
        <is>
          <t>2026-01-28</t>
        </is>
      </c>
      <c r="B60" s="4" t="n">
        <v>959132.25</v>
      </c>
    </row>
    <row r="61">
      <c r="A61" s="12" t="inlineStr">
        <is>
          <t>2026-01-29</t>
        </is>
      </c>
      <c r="B61" s="13" t="n">
        <v>965124.04</v>
      </c>
    </row>
    <row r="62">
      <c r="A62" s="10" t="inlineStr">
        <is>
          <t>2026-01-30</t>
        </is>
      </c>
      <c r="B62" s="4" t="n">
        <v>966520.1800000001</v>
      </c>
    </row>
    <row r="63">
      <c r="A63" s="12" t="inlineStr">
        <is>
          <t>2026-02-02</t>
        </is>
      </c>
      <c r="B63" s="13" t="n">
        <v>964421.09</v>
      </c>
    </row>
    <row r="64">
      <c r="A64" s="10" t="inlineStr">
        <is>
          <t>2026-02-03</t>
        </is>
      </c>
      <c r="B64" s="4" t="n">
        <v>968100.74</v>
      </c>
    </row>
    <row r="65">
      <c r="A65" s="12" t="inlineStr">
        <is>
          <t>2026-02-04</t>
        </is>
      </c>
      <c r="B65" s="13" t="n">
        <v>972434.03</v>
      </c>
    </row>
    <row r="66">
      <c r="A66" s="10" t="inlineStr">
        <is>
          <t>2026-02-05</t>
        </is>
      </c>
      <c r="B66" s="4" t="n">
        <v>975551.24</v>
      </c>
    </row>
    <row r="67">
      <c r="A67" s="12" t="inlineStr">
        <is>
          <t>2026-02-06</t>
        </is>
      </c>
      <c r="B67" s="13" t="n">
        <v>974208.01</v>
      </c>
    </row>
    <row r="68">
      <c r="A68" s="10" t="inlineStr">
        <is>
          <t>2026-02-09</t>
        </is>
      </c>
      <c r="B68" s="4" t="n">
        <v>976002.8</v>
      </c>
    </row>
    <row r="69">
      <c r="A69" s="12" t="inlineStr">
        <is>
          <t>2026-02-10</t>
        </is>
      </c>
      <c r="B69" s="13" t="n">
        <v>977007.3</v>
      </c>
    </row>
    <row r="70">
      <c r="A70" s="10" t="inlineStr">
        <is>
          <t>2026-02-11</t>
        </is>
      </c>
      <c r="B70" s="4" t="n">
        <v>982257.04</v>
      </c>
    </row>
    <row r="71">
      <c r="A71" s="12" t="inlineStr">
        <is>
          <t>2026-02-12</t>
        </is>
      </c>
      <c r="B71" s="13" t="n">
        <v>979600.03</v>
      </c>
    </row>
    <row r="72">
      <c r="A72" s="10" t="inlineStr">
        <is>
          <t>2026-02-13</t>
        </is>
      </c>
      <c r="B72" s="4" t="n">
        <v>973566.3100000001</v>
      </c>
    </row>
    <row r="73">
      <c r="A73" s="12" t="inlineStr">
        <is>
          <t>2026-02-16</t>
        </is>
      </c>
      <c r="B73" s="13" t="n">
        <v>974669.4399999999</v>
      </c>
    </row>
    <row r="74">
      <c r="A74" s="10" t="inlineStr">
        <is>
          <t>2026-02-17</t>
        </is>
      </c>
      <c r="B74" s="4" t="n">
        <v>970842.37</v>
      </c>
    </row>
    <row r="75">
      <c r="A75" s="12" t="inlineStr">
        <is>
          <t>2026-02-18</t>
        </is>
      </c>
      <c r="B75" s="13" t="n">
        <v>974868.88</v>
      </c>
    </row>
    <row r="76">
      <c r="A76" s="10" t="inlineStr">
        <is>
          <t>2026-02-19</t>
        </is>
      </c>
      <c r="B76" s="4" t="n">
        <v>969704.4300000001</v>
      </c>
    </row>
    <row r="77">
      <c r="A77" s="12" t="inlineStr">
        <is>
          <t>2026-02-20</t>
        </is>
      </c>
      <c r="B77" s="13" t="n">
        <v>977572.36</v>
      </c>
    </row>
    <row r="78">
      <c r="A78" s="10" t="inlineStr">
        <is>
          <t>2026-02-23</t>
        </is>
      </c>
      <c r="B78" s="4" t="n">
        <v>973301.63</v>
      </c>
    </row>
    <row r="79">
      <c r="A79" s="12" t="inlineStr">
        <is>
          <t>2026-02-24</t>
        </is>
      </c>
      <c r="B79" s="13" t="n">
        <v>967536.17</v>
      </c>
    </row>
    <row r="80">
      <c r="A80" s="10" t="inlineStr">
        <is>
          <t>2026-02-25</t>
        </is>
      </c>
      <c r="B80" s="4" t="n">
        <v>971127.22</v>
      </c>
    </row>
    <row r="81">
      <c r="A81" s="12" t="inlineStr">
        <is>
          <t>2026-02-26</t>
        </is>
      </c>
      <c r="B81" s="13" t="n">
        <v>972867.37</v>
      </c>
    </row>
    <row r="82">
      <c r="A82" s="10" t="inlineStr">
        <is>
          <t>2026-02-27</t>
        </is>
      </c>
      <c r="B82" s="4" t="n">
        <v>973748.77</v>
      </c>
    </row>
    <row r="83">
      <c r="A83" s="12" t="inlineStr">
        <is>
          <t>2026-03-02</t>
        </is>
      </c>
      <c r="B83" s="13" t="n">
        <v>970977.1</v>
      </c>
    </row>
    <row r="84">
      <c r="A84" s="10" t="inlineStr">
        <is>
          <t>2026-03-03</t>
        </is>
      </c>
      <c r="B84" s="4" t="n">
        <v>977904.91</v>
      </c>
    </row>
    <row r="85">
      <c r="A85" s="12" t="inlineStr">
        <is>
          <t>2026-03-04</t>
        </is>
      </c>
      <c r="B85" s="13" t="n">
        <v>975565.89</v>
      </c>
    </row>
    <row r="86">
      <c r="A86" s="10" t="inlineStr">
        <is>
          <t>2026-03-05</t>
        </is>
      </c>
      <c r="B86" s="4" t="n">
        <v>972835.49</v>
      </c>
    </row>
    <row r="87">
      <c r="A87" s="12" t="inlineStr">
        <is>
          <t>2026-03-06</t>
        </is>
      </c>
      <c r="B87" s="13" t="n">
        <v>972468.6800000001</v>
      </c>
    </row>
    <row r="88">
      <c r="A88" s="10" t="inlineStr">
        <is>
          <t>2026-03-09</t>
        </is>
      </c>
      <c r="B88" s="4" t="n">
        <v>971120.1899999999</v>
      </c>
    </row>
    <row r="89">
      <c r="A89" s="12" t="inlineStr">
        <is>
          <t>2026-03-10</t>
        </is>
      </c>
      <c r="B89" s="13" t="n">
        <v>973955.6</v>
      </c>
    </row>
    <row r="90">
      <c r="A90" s="10" t="inlineStr">
        <is>
          <t>2026-03-11</t>
        </is>
      </c>
      <c r="B90" s="4" t="n">
        <v>971710.6800000001</v>
      </c>
    </row>
    <row r="91">
      <c r="A91" s="12" t="inlineStr">
        <is>
          <t>2026-03-12</t>
        </is>
      </c>
      <c r="B91" s="13" t="n">
        <v>976168.45</v>
      </c>
    </row>
    <row r="92">
      <c r="A92" s="10" t="inlineStr">
        <is>
          <t>2026-03-13</t>
        </is>
      </c>
      <c r="B92" s="4" t="n">
        <v>982616.26</v>
      </c>
    </row>
    <row r="93">
      <c r="A93" s="12" t="inlineStr">
        <is>
          <t>2026-03-16</t>
        </is>
      </c>
      <c r="B93" s="13" t="n">
        <v>988503.02</v>
      </c>
    </row>
    <row r="94">
      <c r="A94" s="10" t="inlineStr">
        <is>
          <t>2026-03-17</t>
        </is>
      </c>
      <c r="B94" s="4" t="n">
        <v>991308.51</v>
      </c>
    </row>
    <row r="95">
      <c r="A95" s="12" t="inlineStr">
        <is>
          <t>2026-03-18</t>
        </is>
      </c>
      <c r="B95" s="13" t="n">
        <v>1000000</v>
      </c>
    </row>
    <row r="96">
      <c r="A96" s="10" t="inlineStr">
        <is>
          <t>2026-03-19</t>
        </is>
      </c>
      <c r="B96" s="4" t="n">
        <v>1011202.12</v>
      </c>
    </row>
    <row r="97">
      <c r="A97" s="12" t="inlineStr">
        <is>
          <t>2026-03-20</t>
        </is>
      </c>
      <c r="B97" s="13" t="n">
        <v>1025356.19</v>
      </c>
    </row>
    <row r="98">
      <c r="A98" s="10" t="inlineStr">
        <is>
          <t>2026-03-23</t>
        </is>
      </c>
      <c r="B98" s="4" t="n">
        <v>1026905.51</v>
      </c>
    </row>
    <row r="99">
      <c r="A99" s="12" t="inlineStr">
        <is>
          <t>2026-03-24</t>
        </is>
      </c>
      <c r="B99" s="13" t="n">
        <v>1015273.3</v>
      </c>
    </row>
    <row r="100">
      <c r="A100" s="10" t="inlineStr">
        <is>
          <t>2026-03-25</t>
        </is>
      </c>
      <c r="B100" s="4" t="n">
        <v>1003025.8</v>
      </c>
    </row>
    <row r="101">
      <c r="A101" s="12" t="inlineStr">
        <is>
          <t>2026-03-26</t>
        </is>
      </c>
      <c r="B101" s="13" t="n">
        <v>1013098.34</v>
      </c>
    </row>
    <row r="102">
      <c r="A102" s="10" t="inlineStr">
        <is>
          <t>2026-03-27</t>
        </is>
      </c>
      <c r="B102" s="4" t="n">
        <v>1026718.34</v>
      </c>
    </row>
    <row r="103">
      <c r="A103" s="12" t="inlineStr">
        <is>
          <t>2026-03-30</t>
        </is>
      </c>
      <c r="B103" s="13" t="n">
        <v>1053504.94</v>
      </c>
    </row>
    <row r="104">
      <c r="A104" s="10" t="inlineStr">
        <is>
          <t>2026-03-31</t>
        </is>
      </c>
      <c r="B104" s="4" t="n">
        <v>1050844.96</v>
      </c>
    </row>
    <row r="105">
      <c r="A105" s="12" t="inlineStr">
        <is>
          <t>2026-04-01</t>
        </is>
      </c>
      <c r="B105" s="13" t="n">
        <v>1049581.91</v>
      </c>
    </row>
    <row r="106">
      <c r="A106" s="10" t="inlineStr">
        <is>
          <t>2026-04-02</t>
        </is>
      </c>
      <c r="B106" s="4" t="n">
        <v>1049200.21</v>
      </c>
    </row>
    <row r="107">
      <c r="A107" s="12" t="inlineStr">
        <is>
          <t>2026-04-03</t>
        </is>
      </c>
      <c r="B107" s="13" t="n">
        <v>1042965.78</v>
      </c>
    </row>
    <row r="108">
      <c r="A108" s="10" t="inlineStr">
        <is>
          <t>2026-04-06</t>
        </is>
      </c>
      <c r="B108" s="4" t="n">
        <v>1048734.43</v>
      </c>
    </row>
    <row r="109">
      <c r="A109" s="12" t="inlineStr">
        <is>
          <t>2026-04-07</t>
        </is>
      </c>
      <c r="B109" s="13" t="n">
        <v>1042822.5</v>
      </c>
    </row>
    <row r="110">
      <c r="A110" s="10" t="inlineStr">
        <is>
          <t>2026-04-08</t>
        </is>
      </c>
      <c r="B110" s="4" t="n">
        <v>1044292.9</v>
      </c>
    </row>
    <row r="111">
      <c r="A111" s="12" t="inlineStr">
        <is>
          <t>2026-04-09</t>
        </is>
      </c>
      <c r="B111" s="13" t="n">
        <v>1070408.83</v>
      </c>
    </row>
    <row r="112">
      <c r="A112" s="10" t="inlineStr">
        <is>
          <t>2026-04-10</t>
        </is>
      </c>
      <c r="B112" s="4" t="n">
        <v>1061559.43</v>
      </c>
    </row>
    <row r="113">
      <c r="A113" s="12" t="inlineStr">
        <is>
          <t>2026-04-13</t>
        </is>
      </c>
      <c r="B113" s="13" t="n">
        <v>1074879.59</v>
      </c>
    </row>
    <row r="114">
      <c r="A114" s="10" t="inlineStr">
        <is>
          <t>2026-04-14</t>
        </is>
      </c>
      <c r="B114" s="4" t="n">
        <v>1080503.54</v>
      </c>
    </row>
    <row r="115">
      <c r="A115" s="12" t="inlineStr">
        <is>
          <t>2026-04-15</t>
        </is>
      </c>
      <c r="B115" s="13" t="n">
        <v>1086894.67</v>
      </c>
    </row>
    <row r="116">
      <c r="A116" s="10" t="inlineStr">
        <is>
          <t>2026-04-16</t>
        </is>
      </c>
      <c r="B116" s="4" t="n">
        <v>1071796.37</v>
      </c>
    </row>
    <row r="117">
      <c r="A117" s="12" t="inlineStr">
        <is>
          <t>2026-04-17</t>
        </is>
      </c>
      <c r="B117" s="13" t="n">
        <v>1065522.69</v>
      </c>
    </row>
    <row r="118">
      <c r="A118" s="10" t="inlineStr">
        <is>
          <t>2026-04-20</t>
        </is>
      </c>
      <c r="B118" s="4" t="n">
        <v>1080563.67</v>
      </c>
    </row>
    <row r="119">
      <c r="A119" s="12" t="inlineStr">
        <is>
          <t>2026-04-21</t>
        </is>
      </c>
      <c r="B119" s="13" t="n">
        <v>1075540.76</v>
      </c>
    </row>
    <row r="120">
      <c r="A120" s="10" t="inlineStr">
        <is>
          <t>2026-04-22</t>
        </is>
      </c>
      <c r="B120" s="4" t="n">
        <v>1070952.2</v>
      </c>
    </row>
    <row r="121">
      <c r="A121" s="12" t="inlineStr">
        <is>
          <t>2026-04-23</t>
        </is>
      </c>
      <c r="B121" s="13" t="n">
        <v>1073612.17</v>
      </c>
    </row>
    <row r="122">
      <c r="A122" s="10" t="inlineStr">
        <is>
          <t>2026-04-24</t>
        </is>
      </c>
      <c r="B122" s="4" t="n">
        <v>1074160.56</v>
      </c>
    </row>
    <row r="123">
      <c r="A123" s="12" t="inlineStr">
        <is>
          <t>2026-04-27</t>
        </is>
      </c>
      <c r="B123" s="13" t="n">
        <v>1084460.75</v>
      </c>
    </row>
    <row r="124">
      <c r="A124" s="10" t="inlineStr">
        <is>
          <t>2026-04-28</t>
        </is>
      </c>
      <c r="B124" s="4" t="n">
        <v>1085444.17</v>
      </c>
    </row>
    <row r="125">
      <c r="A125" s="12" t="inlineStr">
        <is>
          <t>2026-04-29</t>
        </is>
      </c>
      <c r="B125" s="13" t="n">
        <v>1092531.84</v>
      </c>
    </row>
    <row r="126">
      <c r="A126" s="10" t="inlineStr">
        <is>
          <t>2026-04-30</t>
        </is>
      </c>
      <c r="B126" s="4" t="n">
        <v>1092690.79</v>
      </c>
    </row>
    <row r="127">
      <c r="A127" s="12" t="inlineStr">
        <is>
          <t>2026-05-01</t>
        </is>
      </c>
      <c r="B127" s="13" t="n">
        <v>1053158.31</v>
      </c>
    </row>
    <row r="128">
      <c r="A128" s="10" t="inlineStr">
        <is>
          <t>2026-05-04</t>
        </is>
      </c>
      <c r="B128" s="4" t="n">
        <v>1049512.64</v>
      </c>
    </row>
    <row r="129">
      <c r="A129" s="12" t="inlineStr">
        <is>
          <t>2026-05-05</t>
        </is>
      </c>
      <c r="B129" s="13" t="n">
        <v>1043936.06</v>
      </c>
    </row>
    <row r="130">
      <c r="A130" s="10" t="inlineStr">
        <is>
          <t>2026-05-06</t>
        </is>
      </c>
      <c r="B130" s="4" t="n">
        <v>1032472.74</v>
      </c>
    </row>
    <row r="131">
      <c r="A131" s="12" t="inlineStr">
        <is>
          <t>2026-05-07</t>
        </is>
      </c>
      <c r="B131" s="13" t="n">
        <v>1039556.14</v>
      </c>
    </row>
    <row r="132">
      <c r="A132" s="10" t="inlineStr">
        <is>
          <t>2026-05-08</t>
        </is>
      </c>
      <c r="B132" s="4" t="n">
        <v>1037415.03</v>
      </c>
    </row>
    <row r="133">
      <c r="A133" s="12" t="inlineStr">
        <is>
          <t>2026-05-11</t>
        </is>
      </c>
      <c r="B133" s="13" t="n">
        <v>1019194.66</v>
      </c>
    </row>
    <row r="134">
      <c r="A134" s="10" t="inlineStr">
        <is>
          <t>2026-05-12</t>
        </is>
      </c>
      <c r="B134" s="4" t="n">
        <v>1014068.88</v>
      </c>
    </row>
    <row r="135">
      <c r="A135" s="12" t="inlineStr">
        <is>
          <t>2026-05-13</t>
        </is>
      </c>
      <c r="B135" s="13" t="n">
        <v>999221.6800000001</v>
      </c>
    </row>
    <row r="136">
      <c r="A136" s="10" t="inlineStr">
        <is>
          <t>2026-05-14</t>
        </is>
      </c>
      <c r="B136" s="4" t="n">
        <v>1011311.18</v>
      </c>
    </row>
    <row r="137">
      <c r="A137" s="12" t="inlineStr">
        <is>
          <t>2026-05-15</t>
        </is>
      </c>
      <c r="B137" s="13" t="n">
        <v>1014433.88</v>
      </c>
    </row>
    <row r="138">
      <c r="A138" s="10" t="inlineStr">
        <is>
          <t>2026-05-18</t>
        </is>
      </c>
      <c r="B138" s="4" t="n">
        <v>1011774.92</v>
      </c>
    </row>
    <row r="139">
      <c r="A139" s="12" t="inlineStr">
        <is>
          <t>2026-05-19</t>
        </is>
      </c>
      <c r="B139" s="13" t="n">
        <v>998320.26</v>
      </c>
    </row>
    <row r="140">
      <c r="A140" s="10" t="inlineStr">
        <is>
          <t>2026-05-20</t>
        </is>
      </c>
      <c r="B140" s="4" t="n">
        <v>1014291.81</v>
      </c>
    </row>
    <row r="141">
      <c r="A141" s="12" t="inlineStr">
        <is>
          <t>2026-05-21</t>
        </is>
      </c>
      <c r="B141" s="13" t="n">
        <v>1023430.49</v>
      </c>
    </row>
    <row r="142">
      <c r="A142" s="10" t="inlineStr">
        <is>
          <t>2026-05-22</t>
        </is>
      </c>
      <c r="B142" s="4" t="n">
        <v>1023647.26</v>
      </c>
    </row>
    <row r="143">
      <c r="A143" s="12" t="inlineStr">
        <is>
          <t>2026-05-25</t>
        </is>
      </c>
      <c r="B143" s="13" t="n">
        <v>996791.04</v>
      </c>
    </row>
    <row r="144">
      <c r="A144" s="10" t="inlineStr">
        <is>
          <t>2026-05-26</t>
        </is>
      </c>
      <c r="B144" s="4" t="n">
        <v>1016545.25</v>
      </c>
    </row>
    <row r="145">
      <c r="A145" s="12" t="inlineStr">
        <is>
          <t>2026-05-27</t>
        </is>
      </c>
      <c r="B145" s="13" t="n">
        <v>997800.67</v>
      </c>
    </row>
    <row r="146">
      <c r="A146" s="10" t="inlineStr">
        <is>
          <t>2026-05-28</t>
        </is>
      </c>
      <c r="B146" s="4" t="n">
        <v>991400.37</v>
      </c>
    </row>
    <row r="147">
      <c r="A147" s="12" t="inlineStr">
        <is>
          <t>2026-05-29</t>
        </is>
      </c>
      <c r="B147" s="13" t="n">
        <v>989233.28</v>
      </c>
    </row>
    <row r="148">
      <c r="A148" s="10" t="inlineStr">
        <is>
          <t>2026-06-01</t>
        </is>
      </c>
      <c r="B148" s="4" t="n">
        <v>1004807.41</v>
      </c>
    </row>
    <row r="149">
      <c r="A149" s="12" t="inlineStr">
        <is>
          <t>2026-06-02</t>
        </is>
      </c>
      <c r="B149" s="13" t="n">
        <v>1099781.06</v>
      </c>
    </row>
    <row r="150">
      <c r="A150" s="10" t="inlineStr">
        <is>
          <t>2026-06-03</t>
        </is>
      </c>
      <c r="B150" s="4" t="n">
        <v>1108558.05</v>
      </c>
    </row>
    <row r="151">
      <c r="A151" s="12" t="inlineStr">
        <is>
          <t>2026-06-04</t>
        </is>
      </c>
      <c r="B151" s="13" t="n">
        <v>1111869.67</v>
      </c>
    </row>
  </sheetData>
  <mergeCells count="1">
    <mergeCell ref="A1:C1"/>
  </mergeCells>
  <pageMargins left="0.75" right="0.75" top="1" bottom="1" header="0.5" footer="0.5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2" customWidth="1" min="7" max="7"/>
    <col width="11" customWidth="1" min="8" max="8"/>
    <col width="10" customWidth="1" min="9" max="9"/>
    <col width="10" customWidth="1" min="10" max="10"/>
    <col width="7" customWidth="1" min="11" max="11"/>
  </cols>
  <sheetData>
    <row r="1">
      <c r="A1" s="1" t="inlineStr">
        <is>
          <t>EXPOSURE &amp; LEVERAGE — 敞口与杠杆</t>
        </is>
      </c>
    </row>
    <row r="3">
      <c r="A3" s="9" t="inlineStr">
        <is>
          <t>Scope</t>
        </is>
      </c>
      <c r="B3" s="9" t="inlineStr">
        <is>
          <t>Capital ($)</t>
        </is>
      </c>
      <c r="C3" s="9" t="inlineStr">
        <is>
          <t>Long ($)</t>
        </is>
      </c>
      <c r="D3" s="9" t="inlineStr">
        <is>
          <t>Short ($)</t>
        </is>
      </c>
      <c r="E3" s="9" t="inlineStr">
        <is>
          <t>Gross ($)</t>
        </is>
      </c>
      <c r="F3" s="9" t="inlineStr">
        <is>
          <t>Net ($)</t>
        </is>
      </c>
      <c r="G3" s="9" t="inlineStr">
        <is>
          <t>Gross Lev (x)</t>
        </is>
      </c>
      <c r="H3" s="9" t="inlineStr">
        <is>
          <t>Net Lev (x)</t>
        </is>
      </c>
      <c r="I3" s="9" t="inlineStr">
        <is>
          <t>Deploy %</t>
        </is>
      </c>
      <c r="J3" s="9" t="inlineStr">
        <is>
          <t>Margin %</t>
        </is>
      </c>
      <c r="K3" s="9" t="inlineStr">
        <is>
          <t>Pairs</t>
        </is>
      </c>
    </row>
    <row r="4">
      <c r="A4" s="10" t="inlineStr">
        <is>
          <t>COMBINED</t>
        </is>
      </c>
      <c r="B4" s="4" t="n">
        <v>1111869.67</v>
      </c>
      <c r="C4" s="4" t="n">
        <v>3966284.68</v>
      </c>
      <c r="D4" s="4" t="n">
        <v>829265.47</v>
      </c>
      <c r="E4" s="4" t="n">
        <v>4795550.15</v>
      </c>
      <c r="F4" s="4" t="n">
        <v>3137019.21</v>
      </c>
      <c r="G4" s="5" t="n">
        <v>4.313</v>
      </c>
      <c r="H4" s="5" t="n">
        <v>2.821</v>
      </c>
      <c r="I4" s="5" t="n">
        <v>431.31</v>
      </c>
      <c r="J4" s="5" t="n">
        <v>215.65</v>
      </c>
      <c r="K4" s="24" t="n">
        <v>15</v>
      </c>
    </row>
    <row r="5">
      <c r="A5" s="12" t="inlineStr">
        <is>
          <t>MRPT</t>
        </is>
      </c>
      <c r="B5" s="13" t="n">
        <v>574695.23</v>
      </c>
      <c r="C5" s="13" t="n">
        <v>96799.36</v>
      </c>
      <c r="D5" s="13" t="n">
        <v>87572.16</v>
      </c>
      <c r="E5" s="13" t="n">
        <v>184371.52</v>
      </c>
      <c r="F5" s="13" t="n">
        <v>9227.200000000001</v>
      </c>
      <c r="G5" s="25" t="n">
        <v>0.321</v>
      </c>
      <c r="H5" s="25" t="n">
        <v>0.016</v>
      </c>
      <c r="I5" s="25" t="n">
        <v>32.08</v>
      </c>
      <c r="J5" s="25" t="n">
        <v>16.04</v>
      </c>
      <c r="K5" s="26" t="n">
        <v>1</v>
      </c>
    </row>
    <row r="6">
      <c r="A6" s="10" t="inlineStr">
        <is>
          <t>MTFS</t>
        </is>
      </c>
      <c r="B6" s="4" t="n">
        <v>537174.4399999999</v>
      </c>
      <c r="C6" s="4" t="n">
        <v>3869485.32</v>
      </c>
      <c r="D6" s="4" t="n">
        <v>741693.3100000001</v>
      </c>
      <c r="E6" s="4" t="n">
        <v>4611178.63</v>
      </c>
      <c r="F6" s="4" t="n">
        <v>3127792.01</v>
      </c>
      <c r="G6" s="5" t="n">
        <v>8.584</v>
      </c>
      <c r="H6" s="5" t="n">
        <v>5.823</v>
      </c>
      <c r="I6" s="5" t="n">
        <v>858.41</v>
      </c>
      <c r="J6" s="5" t="n">
        <v>429.21</v>
      </c>
      <c r="K6" s="24" t="n">
        <v>14</v>
      </c>
    </row>
  </sheetData>
  <mergeCells count="1">
    <mergeCell ref="A1:K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2" customWidth="1" min="4" max="4"/>
    <col width="12" customWidth="1" min="5" max="5"/>
    <col width="8" customWidth="1" min="6" max="6"/>
  </cols>
  <sheetData>
    <row r="1">
      <c r="A1" s="1" t="inlineStr">
        <is>
          <t>CONCENTRATION — 集中度 (single-name / sector / HHI)</t>
        </is>
      </c>
    </row>
    <row r="3">
      <c r="A3" s="27" t="inlineStr">
        <is>
          <t>HHI=0.1524  ·  effective N pairs=6.6  ·  max pair=30.08% of gross</t>
        </is>
      </c>
    </row>
    <row r="5">
      <c r="A5" s="9" t="inlineStr">
        <is>
          <t>Ticker</t>
        </is>
      </c>
      <c r="B5" s="9" t="inlineStr">
        <is>
          <t>Gross ($)</t>
        </is>
      </c>
      <c r="C5" s="9" t="inlineStr">
        <is>
          <t>Net ($)</t>
        </is>
      </c>
      <c r="D5" s="9" t="inlineStr">
        <is>
          <t>% of NAV</t>
        </is>
      </c>
      <c r="E5" s="9" t="inlineStr">
        <is>
          <t>% of Gross</t>
        </is>
      </c>
      <c r="F5" s="9" t="inlineStr">
        <is>
          <t>N Pairs</t>
        </is>
      </c>
    </row>
    <row r="6">
      <c r="A6" s="10" t="inlineStr">
        <is>
          <t>KLAC</t>
        </is>
      </c>
      <c r="B6" s="4" t="n">
        <v>2322899</v>
      </c>
      <c r="C6" s="4" t="n">
        <v>2322899</v>
      </c>
      <c r="D6" s="21" t="n">
        <v>208.92</v>
      </c>
      <c r="E6" s="21" t="n">
        <v>48.44</v>
      </c>
      <c r="F6" s="24" t="n">
        <v>2</v>
      </c>
    </row>
    <row r="7">
      <c r="A7" s="12" t="inlineStr">
        <is>
          <t>BWA</t>
        </is>
      </c>
      <c r="B7" s="13" t="n">
        <v>363427.54</v>
      </c>
      <c r="C7" s="13" t="n">
        <v>363427.54</v>
      </c>
      <c r="D7" s="20" t="n">
        <v>32.69</v>
      </c>
      <c r="E7" s="20" t="n">
        <v>7.58</v>
      </c>
      <c r="F7" s="26" t="n">
        <v>2</v>
      </c>
    </row>
    <row r="8">
      <c r="A8" s="10" t="inlineStr">
        <is>
          <t>LRCX</t>
        </is>
      </c>
      <c r="B8" s="4" t="n">
        <v>289985.42</v>
      </c>
      <c r="C8" s="4" t="n">
        <v>289985.42</v>
      </c>
      <c r="D8" s="21" t="n">
        <v>26.08</v>
      </c>
      <c r="E8" s="21" t="n">
        <v>6.05</v>
      </c>
      <c r="F8" s="24" t="n">
        <v>2</v>
      </c>
    </row>
    <row r="9">
      <c r="A9" s="12" t="inlineStr">
        <is>
          <t>STLD</t>
        </is>
      </c>
      <c r="B9" s="13" t="n">
        <v>277957.4</v>
      </c>
      <c r="C9" s="13" t="n">
        <v>277957.4</v>
      </c>
      <c r="D9" s="20" t="n">
        <v>25</v>
      </c>
      <c r="E9" s="20" t="n">
        <v>5.8</v>
      </c>
      <c r="F9" s="26" t="n">
        <v>2</v>
      </c>
    </row>
    <row r="10">
      <c r="A10" s="10" t="inlineStr">
        <is>
          <t>CSCO</t>
        </is>
      </c>
      <c r="B10" s="4" t="n">
        <v>237120</v>
      </c>
      <c r="C10" s="4" t="n">
        <v>237120</v>
      </c>
      <c r="D10" s="21" t="n">
        <v>21.33</v>
      </c>
      <c r="E10" s="21" t="n">
        <v>4.94</v>
      </c>
      <c r="F10" s="24" t="n">
        <v>2</v>
      </c>
    </row>
    <row r="11">
      <c r="A11" s="12" t="inlineStr">
        <is>
          <t>FFIV</t>
        </is>
      </c>
      <c r="B11" s="13" t="n">
        <v>174089.16</v>
      </c>
      <c r="C11" s="13" t="n">
        <v>174089.16</v>
      </c>
      <c r="D11" s="20" t="n">
        <v>15.66</v>
      </c>
      <c r="E11" s="20" t="n">
        <v>3.63</v>
      </c>
      <c r="F11" s="26" t="n">
        <v>1</v>
      </c>
    </row>
    <row r="12">
      <c r="A12" s="10" t="inlineStr">
        <is>
          <t>NUE</t>
        </is>
      </c>
      <c r="B12" s="4" t="n">
        <v>172580.24</v>
      </c>
      <c r="C12" s="4" t="n">
        <v>172580.24</v>
      </c>
      <c r="D12" s="21" t="n">
        <v>15.52</v>
      </c>
      <c r="E12" s="21" t="n">
        <v>3.6</v>
      </c>
      <c r="F12" s="24" t="n">
        <v>2</v>
      </c>
    </row>
    <row r="13">
      <c r="A13" s="12" t="inlineStr">
        <is>
          <t>VLTO</t>
        </is>
      </c>
      <c r="B13" s="13" t="n">
        <v>137787.24</v>
      </c>
      <c r="C13" s="18" t="n">
        <v>-137787.24</v>
      </c>
      <c r="D13" s="20" t="n">
        <v>12.39</v>
      </c>
      <c r="E13" s="20" t="n">
        <v>2.87</v>
      </c>
      <c r="F13" s="26" t="n">
        <v>2</v>
      </c>
    </row>
    <row r="14">
      <c r="A14" s="10" t="inlineStr">
        <is>
          <t>MTD</t>
        </is>
      </c>
      <c r="B14" s="4" t="n">
        <v>96799.36</v>
      </c>
      <c r="C14" s="4" t="n">
        <v>96799.36</v>
      </c>
      <c r="D14" s="21" t="n">
        <v>8.710000000000001</v>
      </c>
      <c r="E14" s="21" t="n">
        <v>2.02</v>
      </c>
      <c r="F14" s="24" t="n">
        <v>1</v>
      </c>
    </row>
    <row r="15">
      <c r="A15" s="12" t="inlineStr">
        <is>
          <t>CI</t>
        </is>
      </c>
      <c r="B15" s="13" t="n">
        <v>87572.16</v>
      </c>
      <c r="C15" s="18" t="n">
        <v>-87572.16</v>
      </c>
      <c r="D15" s="20" t="n">
        <v>7.88</v>
      </c>
      <c r="E15" s="20" t="n">
        <v>1.83</v>
      </c>
      <c r="F15" s="26" t="n">
        <v>1</v>
      </c>
    </row>
    <row r="18">
      <c r="A18" s="28" t="inlineStr">
        <is>
          <t>SECTOR NET EXPOSURE</t>
        </is>
      </c>
    </row>
    <row r="19">
      <c r="A19" s="9" t="inlineStr">
        <is>
          <t>Sector</t>
        </is>
      </c>
      <c r="B19" s="9" t="inlineStr">
        <is>
          <t>Long</t>
        </is>
      </c>
      <c r="C19" s="9" t="inlineStr">
        <is>
          <t>Short</t>
        </is>
      </c>
      <c r="D19" s="9" t="inlineStr">
        <is>
          <t>Net</t>
        </is>
      </c>
      <c r="E19" s="9" t="inlineStr">
        <is>
          <t>Net % of Gross</t>
        </is>
      </c>
    </row>
    <row r="20">
      <c r="A20" s="10" t="inlineStr">
        <is>
          <t>tech</t>
        </is>
      </c>
      <c r="B20" s="4" t="n">
        <v>3024093.58</v>
      </c>
      <c r="C20" s="4" t="n">
        <v>75664</v>
      </c>
      <c r="D20" s="4" t="n">
        <v>2948429.58</v>
      </c>
      <c r="E20" s="7" t="n">
        <v>61.48</v>
      </c>
    </row>
    <row r="21">
      <c r="A21" s="12" t="inlineStr">
        <is>
          <t>materials</t>
        </is>
      </c>
      <c r="B21" s="13" t="n">
        <v>450537.64</v>
      </c>
      <c r="C21" s="15" t="n">
        <v>0</v>
      </c>
      <c r="D21" s="13" t="n">
        <v>450537.64</v>
      </c>
      <c r="E21" s="17" t="n">
        <v>9.390000000000001</v>
      </c>
    </row>
    <row r="22">
      <c r="A22" s="10" t="inlineStr">
        <is>
          <t>health</t>
        </is>
      </c>
      <c r="B22" s="4" t="n">
        <v>96799.36</v>
      </c>
      <c r="C22" s="4" t="n">
        <v>468166.2</v>
      </c>
      <c r="D22" s="19" t="n">
        <v>-371366.84</v>
      </c>
      <c r="E22" s="7" t="n">
        <v>-7.74</v>
      </c>
    </row>
    <row r="23">
      <c r="A23" s="12" t="inlineStr">
        <is>
          <t>industrial</t>
        </is>
      </c>
      <c r="B23" s="13" t="n">
        <v>394854.1</v>
      </c>
      <c r="C23" s="13" t="n">
        <v>52426.34</v>
      </c>
      <c r="D23" s="13" t="n">
        <v>342427.76</v>
      </c>
      <c r="E23" s="17" t="n">
        <v>7.14</v>
      </c>
    </row>
    <row r="24">
      <c r="A24" s="10" t="inlineStr">
        <is>
          <t>food</t>
        </is>
      </c>
      <c r="B24" s="11" t="n">
        <v>0</v>
      </c>
      <c r="C24" s="4" t="n">
        <v>131733.62</v>
      </c>
      <c r="D24" s="19" t="n">
        <v>-131733.62</v>
      </c>
      <c r="E24" s="7" t="n">
        <v>-2.75</v>
      </c>
    </row>
    <row r="25">
      <c r="A25" s="12" t="inlineStr">
        <is>
          <t>finance</t>
        </is>
      </c>
      <c r="B25" s="15" t="n">
        <v>0</v>
      </c>
      <c r="C25" s="13" t="n">
        <v>101275.31</v>
      </c>
      <c r="D25" s="18" t="n">
        <v>-101275.31</v>
      </c>
      <c r="E25" s="17" t="n">
        <v>-2.11</v>
      </c>
    </row>
  </sheetData>
  <mergeCells count="1">
    <mergeCell ref="A1:F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32" customWidth="1" min="1" max="1"/>
    <col width="24" customWidth="1" min="2" max="2"/>
  </cols>
  <sheetData>
    <row r="1">
      <c r="A1" s="1" t="inlineStr">
        <is>
          <t>FACTOR &amp; BETA — 因子与市场 Beta</t>
        </is>
      </c>
    </row>
    <row r="3">
      <c r="A3" s="3" t="inlineStr">
        <is>
          <t>Net market beta (target≈0)</t>
        </is>
      </c>
      <c r="B3" s="5" t="n">
        <v>5.661</v>
      </c>
    </row>
    <row r="4">
      <c r="A4" s="3" t="inlineStr">
        <is>
          <t>Gross beta</t>
        </is>
      </c>
      <c r="B4" s="5" t="n">
        <v>6.375</v>
      </c>
    </row>
    <row r="5">
      <c r="A5" s="3" t="inlineStr">
        <is>
          <t>Momentum factor net (% NAV)</t>
        </is>
      </c>
      <c r="B5" s="5" t="n">
        <v>281.31</v>
      </c>
    </row>
    <row r="6">
      <c r="A6" s="3" t="inlineStr">
        <is>
          <t>Beta data insufficient</t>
        </is>
      </c>
      <c r="B6" s="7" t="inlineStr">
        <is>
          <t>BWA, JKHY</t>
        </is>
      </c>
    </row>
    <row r="8">
      <c r="A8" s="28" t="inlineStr">
        <is>
          <t>SECTOR NET VECTOR (% of gross)</t>
        </is>
      </c>
    </row>
    <row r="9">
      <c r="A9" s="9" t="inlineStr">
        <is>
          <t>Sector</t>
        </is>
      </c>
      <c r="B9" s="9" t="inlineStr">
        <is>
          <t>Net % of Gross</t>
        </is>
      </c>
    </row>
    <row r="10">
      <c r="A10" s="10" t="inlineStr">
        <is>
          <t>tech</t>
        </is>
      </c>
      <c r="B10" s="21" t="n">
        <v>61.48</v>
      </c>
    </row>
    <row r="11">
      <c r="A11" s="12" t="inlineStr">
        <is>
          <t>materials</t>
        </is>
      </c>
      <c r="B11" s="20" t="n">
        <v>9.390000000000001</v>
      </c>
    </row>
    <row r="12">
      <c r="A12" s="10" t="inlineStr">
        <is>
          <t>health</t>
        </is>
      </c>
      <c r="B12" s="22" t="n">
        <v>-7.74</v>
      </c>
    </row>
    <row r="13">
      <c r="A13" s="12" t="inlineStr">
        <is>
          <t>industrial</t>
        </is>
      </c>
      <c r="B13" s="20" t="n">
        <v>7.14</v>
      </c>
    </row>
    <row r="14">
      <c r="A14" s="10" t="inlineStr">
        <is>
          <t>food</t>
        </is>
      </c>
      <c r="B14" s="22" t="n">
        <v>-2.75</v>
      </c>
    </row>
    <row r="15">
      <c r="A15" s="12" t="inlineStr">
        <is>
          <t>finance</t>
        </is>
      </c>
      <c r="B15" s="23" t="n">
        <v>-2.11</v>
      </c>
    </row>
  </sheetData>
  <mergeCells count="1">
    <mergeCell ref="A1:D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32" customWidth="1" min="1" max="1"/>
    <col width="20" customWidth="1" min="2" max="2"/>
    <col width="14" customWidth="1" min="3" max="3"/>
  </cols>
  <sheetData>
    <row r="1">
      <c r="A1" s="1" t="inlineStr">
        <is>
          <t>VALUE AT RISK &amp; VOLATILITY</t>
        </is>
      </c>
    </row>
    <row r="3">
      <c r="A3" s="3" t="inlineStr">
        <is>
          <t>Parametric VaR 95% 1d ($)</t>
        </is>
      </c>
      <c r="B3" s="4" t="n">
        <v>110097.87</v>
      </c>
    </row>
    <row r="4">
      <c r="A4" s="3" t="inlineStr">
        <is>
          <t>Parametric VaR 99% 1d ($)</t>
        </is>
      </c>
      <c r="B4" s="4" t="n">
        <v>155676.39</v>
      </c>
    </row>
    <row r="5">
      <c r="A5" s="3" t="inlineStr">
        <is>
          <t>Annual vol ($)</t>
        </is>
      </c>
      <c r="B5" s="4" t="n">
        <v>1062461.74</v>
      </c>
    </row>
    <row r="6">
      <c r="A6" s="3" t="inlineStr">
        <is>
          <t>Annual vol (% NAV)</t>
        </is>
      </c>
      <c r="B6" s="5" t="n">
        <v>95.56</v>
      </c>
    </row>
    <row r="7">
      <c r="A7" s="3" t="inlineStr">
        <is>
          <t>Historical VaR 95% 1d ($)</t>
        </is>
      </c>
      <c r="B7" s="4" t="n">
        <v>82515.45</v>
      </c>
    </row>
    <row r="8">
      <c r="A8" s="3" t="inlineStr">
        <is>
          <t>Historical CVaR 95% 1d ($)</t>
        </is>
      </c>
      <c r="B8" s="4" t="n">
        <v>98940.97</v>
      </c>
    </row>
    <row r="10">
      <c r="A10" s="28" t="inlineStr">
        <is>
          <t>COMPONENT VaR (per pair, marginal)</t>
        </is>
      </c>
    </row>
    <row r="11">
      <c r="A11" s="9" t="inlineStr">
        <is>
          <t>Pair</t>
        </is>
      </c>
      <c r="B11" s="9" t="inlineStr">
        <is>
          <t>Component VaR 95 ($)</t>
        </is>
      </c>
      <c r="C11" s="9" t="inlineStr">
        <is>
          <t>% of total</t>
        </is>
      </c>
    </row>
    <row r="12">
      <c r="A12" s="10" t="inlineStr">
        <is>
          <t>KLAC/REGN</t>
        </is>
      </c>
      <c r="B12" s="4" t="n">
        <v>53786.48</v>
      </c>
      <c r="C12" s="7" t="n">
        <v>48.85</v>
      </c>
    </row>
    <row r="13">
      <c r="A13" s="12" t="inlineStr">
        <is>
          <t>KLAC/LOW</t>
        </is>
      </c>
      <c r="B13" s="13" t="n">
        <v>33071.53</v>
      </c>
      <c r="C13" s="17" t="n">
        <v>30.04</v>
      </c>
    </row>
    <row r="14">
      <c r="A14" s="10" t="inlineStr">
        <is>
          <t>LRCX/BSX</t>
        </is>
      </c>
      <c r="B14" s="4" t="n">
        <v>5705.57</v>
      </c>
      <c r="C14" s="7" t="n">
        <v>5.18</v>
      </c>
    </row>
    <row r="15">
      <c r="A15" s="12" t="inlineStr">
        <is>
          <t>LRCX/RMD</t>
        </is>
      </c>
      <c r="B15" s="13" t="n">
        <v>4908.09</v>
      </c>
      <c r="C15" s="17" t="n">
        <v>4.46</v>
      </c>
    </row>
    <row r="16">
      <c r="A16" s="10" t="inlineStr">
        <is>
          <t>STLD/HII</t>
        </is>
      </c>
      <c r="B16" s="4" t="n">
        <v>1960.48</v>
      </c>
      <c r="C16" s="7" t="n">
        <v>1.78</v>
      </c>
    </row>
    <row r="17">
      <c r="A17" s="12" t="inlineStr">
        <is>
          <t>STLD/ISRG</t>
        </is>
      </c>
      <c r="B17" s="13" t="n">
        <v>1867.13</v>
      </c>
      <c r="C17" s="17" t="n">
        <v>1.7</v>
      </c>
    </row>
    <row r="18">
      <c r="A18" s="10" t="inlineStr">
        <is>
          <t>BWA/CME</t>
        </is>
      </c>
      <c r="B18" s="4" t="n">
        <v>1533.1</v>
      </c>
      <c r="C18" s="7" t="n">
        <v>1.39</v>
      </c>
    </row>
    <row r="19">
      <c r="A19" s="12" t="inlineStr">
        <is>
          <t>NUE/INTU</t>
        </is>
      </c>
      <c r="B19" s="13" t="n">
        <v>1509.28</v>
      </c>
      <c r="C19" s="17" t="n">
        <v>1.37</v>
      </c>
    </row>
    <row r="20">
      <c r="A20" s="10" t="inlineStr">
        <is>
          <t>NUE/MKTX</t>
        </is>
      </c>
      <c r="B20" s="4" t="n">
        <v>1468.6</v>
      </c>
      <c r="C20" s="7" t="n">
        <v>1.33</v>
      </c>
    </row>
    <row r="21">
      <c r="A21" s="12" t="inlineStr">
        <is>
          <t>CSCO/CAG</t>
        </is>
      </c>
      <c r="B21" s="13" t="n">
        <v>1266.66</v>
      </c>
      <c r="C21" s="17" t="n">
        <v>1.15</v>
      </c>
    </row>
    <row r="22">
      <c r="A22" s="10" t="inlineStr">
        <is>
          <t>FFIV/VLTO</t>
        </is>
      </c>
      <c r="B22" s="4" t="n">
        <v>1034.59</v>
      </c>
      <c r="C22" s="7" t="n">
        <v>0.9399999999999999</v>
      </c>
    </row>
    <row r="23">
      <c r="A23" s="12" t="inlineStr">
        <is>
          <t>CI/MTD</t>
        </is>
      </c>
      <c r="B23" s="13" t="n">
        <v>656.51</v>
      </c>
      <c r="C23" s="17" t="n">
        <v>0.6</v>
      </c>
    </row>
    <row r="24">
      <c r="A24" s="10" t="inlineStr">
        <is>
          <t>BWA/VLTO</t>
        </is>
      </c>
      <c r="B24" s="4" t="n">
        <v>465.94</v>
      </c>
      <c r="C24" s="7" t="n">
        <v>0.42</v>
      </c>
    </row>
    <row r="25">
      <c r="A25" s="12" t="inlineStr">
        <is>
          <t>ODFL/JKHY</t>
        </is>
      </c>
      <c r="B25" s="13" t="n">
        <v>436.83</v>
      </c>
      <c r="C25" s="17" t="n">
        <v>0.4</v>
      </c>
    </row>
    <row r="26">
      <c r="A26" s="10" t="inlineStr">
        <is>
          <t>CSCO/REGN</t>
        </is>
      </c>
      <c r="B26" s="4" t="n">
        <v>427.07</v>
      </c>
      <c r="C26" s="7" t="n">
        <v>0.39</v>
      </c>
    </row>
  </sheetData>
  <mergeCells count="1">
    <mergeCell ref="A1:D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6" customWidth="1" min="4" max="4"/>
    <col width="16" customWidth="1" min="5" max="5"/>
  </cols>
  <sheetData>
    <row r="1">
      <c r="A1" s="1" t="inlineStr">
        <is>
          <t>LIQUIDITY — 流动性 (Almgren-Chriss days-to-liquidate)</t>
        </is>
      </c>
    </row>
    <row r="3">
      <c r="A3" s="27" t="inlineStr">
        <is>
          <t>Legs &gt; 1 trading day to liquidate: 0 (participation cap 20%)</t>
        </is>
      </c>
    </row>
    <row r="5">
      <c r="A5" s="9" t="inlineStr">
        <is>
          <t>Ticker</t>
        </is>
      </c>
      <c r="B5" s="9" t="inlineStr">
        <is>
          <t>Pair</t>
        </is>
      </c>
      <c r="C5" s="9" t="inlineStr">
        <is>
          <t>Shares</t>
        </is>
      </c>
      <c r="D5" s="9" t="inlineStr">
        <is>
          <t>ADV(20d)</t>
        </is>
      </c>
      <c r="E5" s="9" t="inlineStr">
        <is>
          <t>Days to liquidate</t>
        </is>
      </c>
    </row>
    <row r="6">
      <c r="A6" s="10" t="inlineStr">
        <is>
          <t>CI</t>
        </is>
      </c>
      <c r="B6" s="7" t="inlineStr">
        <is>
          <t>CI/MTD</t>
        </is>
      </c>
      <c r="C6" s="4" t="n">
        <v>312</v>
      </c>
      <c r="D6" s="4" t="n">
        <v>1693229</v>
      </c>
      <c r="E6" s="7" t="n">
        <v>0</v>
      </c>
    </row>
    <row r="7">
      <c r="A7" s="12" t="inlineStr">
        <is>
          <t>MTD</t>
        </is>
      </c>
      <c r="B7" s="17" t="inlineStr">
        <is>
          <t>CI/MTD</t>
        </is>
      </c>
      <c r="C7" s="15" t="n">
        <v>82</v>
      </c>
      <c r="D7" s="13" t="n">
        <v>225318</v>
      </c>
      <c r="E7" s="17" t="n">
        <v>0</v>
      </c>
    </row>
    <row r="8">
      <c r="A8" s="10" t="inlineStr">
        <is>
          <t>ODFL</t>
        </is>
      </c>
      <c r="B8" s="7" t="inlineStr">
        <is>
          <t>ODFL/JKHY</t>
        </is>
      </c>
      <c r="C8" s="4" t="n">
        <v>128</v>
      </c>
      <c r="D8" s="4" t="n">
        <v>1855057</v>
      </c>
      <c r="E8" s="7" t="n">
        <v>0</v>
      </c>
    </row>
    <row r="9">
      <c r="A9" s="12" t="inlineStr">
        <is>
          <t>JKHY</t>
        </is>
      </c>
      <c r="B9" s="17" t="inlineStr">
        <is>
          <t>ODFL/JKHY</t>
        </is>
      </c>
      <c r="C9" s="13" t="n">
        <v>191</v>
      </c>
      <c r="D9" s="13" t="n">
        <v>1473525</v>
      </c>
      <c r="E9" s="17" t="n">
        <v>0</v>
      </c>
    </row>
    <row r="10">
      <c r="A10" s="10" t="inlineStr">
        <is>
          <t>KLAC</t>
        </is>
      </c>
      <c r="B10" s="7" t="inlineStr">
        <is>
          <t>KLAC/REGN</t>
        </is>
      </c>
      <c r="C10" s="4" t="n">
        <v>670</v>
      </c>
      <c r="D10" s="4" t="n">
        <v>989366</v>
      </c>
      <c r="E10" s="7" t="n">
        <v>0</v>
      </c>
    </row>
    <row r="11">
      <c r="A11" s="12" t="inlineStr">
        <is>
          <t>REGN</t>
        </is>
      </c>
      <c r="B11" s="17" t="inlineStr">
        <is>
          <t>KLAC/REGN</t>
        </is>
      </c>
      <c r="C11" s="15" t="n">
        <v>23</v>
      </c>
      <c r="D11" s="13" t="n">
        <v>1025882</v>
      </c>
      <c r="E11" s="17" t="n">
        <v>0</v>
      </c>
    </row>
    <row r="12">
      <c r="A12" s="10" t="inlineStr">
        <is>
          <t>KLAC</t>
        </is>
      </c>
      <c r="B12" s="7" t="inlineStr">
        <is>
          <t>KLAC/LOW</t>
        </is>
      </c>
      <c r="C12" s="4" t="n">
        <v>420</v>
      </c>
      <c r="D12" s="4" t="n">
        <v>989366</v>
      </c>
      <c r="E12" s="7" t="n">
        <v>0</v>
      </c>
    </row>
    <row r="13">
      <c r="A13" s="12" t="inlineStr">
        <is>
          <t>LOW</t>
        </is>
      </c>
      <c r="B13" s="17" t="inlineStr">
        <is>
          <t>KLAC/LOW</t>
        </is>
      </c>
      <c r="C13" s="13" t="n">
        <v>382</v>
      </c>
      <c r="D13" s="13" t="n">
        <v>3121374</v>
      </c>
      <c r="E13" s="17" t="n">
        <v>0</v>
      </c>
    </row>
    <row r="14">
      <c r="A14" s="10" t="inlineStr">
        <is>
          <t>FFIV</t>
        </is>
      </c>
      <c r="B14" s="7" t="inlineStr">
        <is>
          <t>FFIV/VLTO</t>
        </is>
      </c>
      <c r="C14" s="4" t="n">
        <v>426</v>
      </c>
      <c r="D14" s="4" t="n">
        <v>743955</v>
      </c>
      <c r="E14" s="7" t="n">
        <v>0</v>
      </c>
    </row>
    <row r="15">
      <c r="A15" s="12" t="inlineStr">
        <is>
          <t>VLTO</t>
        </is>
      </c>
      <c r="B15" s="17" t="inlineStr">
        <is>
          <t>FFIV/VLTO</t>
        </is>
      </c>
      <c r="C15" s="13" t="n">
        <v>665</v>
      </c>
      <c r="D15" s="13" t="n">
        <v>2530621</v>
      </c>
      <c r="E15" s="17" t="n">
        <v>0</v>
      </c>
    </row>
    <row r="16">
      <c r="A16" s="10" t="inlineStr">
        <is>
          <t>LRCX</t>
        </is>
      </c>
      <c r="B16" s="7" t="inlineStr">
        <is>
          <t>LRCX/BSX</t>
        </is>
      </c>
      <c r="C16" s="4" t="n">
        <v>431</v>
      </c>
      <c r="D16" s="4" t="n">
        <v>9029729</v>
      </c>
      <c r="E16" s="7" t="n">
        <v>0</v>
      </c>
    </row>
    <row r="17">
      <c r="A17" s="12" t="inlineStr">
        <is>
          <t>BSX</t>
        </is>
      </c>
      <c r="B17" s="17" t="inlineStr">
        <is>
          <t>LRCX/BSX</t>
        </is>
      </c>
      <c r="C17" s="13" t="n">
        <v>1706</v>
      </c>
      <c r="D17" s="13" t="n">
        <v>18473704</v>
      </c>
      <c r="E17" s="17" t="n">
        <v>0</v>
      </c>
    </row>
    <row r="18">
      <c r="A18" s="10" t="inlineStr">
        <is>
          <t>LRCX</t>
        </is>
      </c>
      <c r="B18" s="7" t="inlineStr">
        <is>
          <t>LRCX/RMD</t>
        </is>
      </c>
      <c r="C18" s="4" t="n">
        <v>431</v>
      </c>
      <c r="D18" s="4" t="n">
        <v>9029729</v>
      </c>
      <c r="E18" s="7" t="n">
        <v>0</v>
      </c>
    </row>
    <row r="19">
      <c r="A19" s="12" t="inlineStr">
        <is>
          <t>RMD</t>
        </is>
      </c>
      <c r="B19" s="17" t="inlineStr">
        <is>
          <t>LRCX/RMD</t>
        </is>
      </c>
      <c r="C19" s="13" t="n">
        <v>288</v>
      </c>
      <c r="D19" s="13" t="n">
        <v>1540432</v>
      </c>
      <c r="E19" s="17" t="n">
        <v>0</v>
      </c>
    </row>
    <row r="20">
      <c r="A20" s="10" t="inlineStr">
        <is>
          <t>CSCO</t>
        </is>
      </c>
      <c r="B20" s="7" t="inlineStr">
        <is>
          <t>CSCO/CAG</t>
        </is>
      </c>
      <c r="C20" s="4" t="n">
        <v>912</v>
      </c>
      <c r="D20" s="4" t="n">
        <v>28463209</v>
      </c>
      <c r="E20" s="7" t="n">
        <v>0</v>
      </c>
    </row>
  </sheetData>
  <mergeCells count="1">
    <mergeCell ref="A1:E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6" customWidth="1" min="3" max="3"/>
  </cols>
  <sheetData>
    <row r="1">
      <c r="A1" s="1" t="inlineStr">
        <is>
          <t>STRESS / SCENARIO — beta-implied PnL</t>
        </is>
      </c>
    </row>
    <row r="3">
      <c r="A3" s="9" t="inlineStr">
        <is>
          <t>Scenario</t>
        </is>
      </c>
      <c r="B3" s="9" t="inlineStr">
        <is>
          <t>Est PnL ($)</t>
        </is>
      </c>
      <c r="C3" s="9" t="inlineStr">
        <is>
          <t>Est PnL (% NAV)</t>
        </is>
      </c>
    </row>
    <row r="4">
      <c r="A4" s="10" t="inlineStr">
        <is>
          <t>SPY -5%</t>
        </is>
      </c>
      <c r="B4" s="19" t="n">
        <v>-314714.71</v>
      </c>
      <c r="C4" s="22" t="n">
        <v>-28.31</v>
      </c>
    </row>
    <row r="5">
      <c r="A5" s="12" t="inlineStr">
        <is>
          <t>SPY -10%</t>
        </is>
      </c>
      <c r="B5" s="18" t="n">
        <v>-629429.42</v>
      </c>
      <c r="C5" s="23" t="n">
        <v>-56.61</v>
      </c>
    </row>
    <row r="6">
      <c r="A6" s="10" t="inlineStr">
        <is>
          <t>VIX +10pt</t>
        </is>
      </c>
      <c r="B6" s="19" t="n">
        <v>-314714.71</v>
      </c>
      <c r="C6" s="22" t="n">
        <v>-28.31</v>
      </c>
    </row>
    <row r="7">
      <c r="A7" s="12" t="inlineStr">
        <is>
          <t>Top sector -10%</t>
        </is>
      </c>
      <c r="B7" s="18" t="n">
        <v>-294842.96</v>
      </c>
      <c r="C7" s="23" t="n">
        <v>-26.52</v>
      </c>
    </row>
  </sheetData>
  <mergeCells count="1">
    <mergeCell ref="A1:C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22" customWidth="1" min="1" max="1"/>
    <col width="12" customWidth="1" min="2" max="2"/>
    <col width="12" customWidth="1" min="3" max="3"/>
    <col width="10" customWidth="1" min="4" max="4"/>
    <col width="10" customWidth="1" min="5" max="5"/>
    <col width="10" customWidth="1" min="6" max="6"/>
  </cols>
  <sheetData>
    <row r="1">
      <c r="A1" s="1" t="inlineStr">
        <is>
          <t>LIMIT MONITOR — 限额监控 (shared thresholds w/ DailySignal gates)</t>
        </is>
      </c>
    </row>
    <row r="3">
      <c r="A3" s="9" t="inlineStr">
        <is>
          <t>Limit</t>
        </is>
      </c>
      <c r="B3" s="9" t="inlineStr">
        <is>
          <t>Scope</t>
        </is>
      </c>
      <c r="C3" s="9" t="inlineStr">
        <is>
          <t>Value</t>
        </is>
      </c>
      <c r="D3" s="9" t="inlineStr">
        <is>
          <t>Amber</t>
        </is>
      </c>
      <c r="E3" s="9" t="inlineStr">
        <is>
          <t>Red</t>
        </is>
      </c>
      <c r="F3" s="9" t="inlineStr">
        <is>
          <t>Status</t>
        </is>
      </c>
    </row>
    <row r="4">
      <c r="A4" s="29" t="inlineStr">
        <is>
          <t>gross_leverage</t>
        </is>
      </c>
      <c r="B4" s="30" t="inlineStr">
        <is>
          <t>mrpt</t>
        </is>
      </c>
      <c r="C4" s="30" t="n">
        <v>0.32</v>
      </c>
      <c r="D4" s="30" t="n">
        <v>3</v>
      </c>
      <c r="E4" s="30" t="n">
        <v>4</v>
      </c>
      <c r="F4" s="30" t="inlineStr">
        <is>
          <t>green</t>
        </is>
      </c>
    </row>
    <row r="5">
      <c r="A5" s="29" t="inlineStr">
        <is>
          <t>net_leverage_abs</t>
        </is>
      </c>
      <c r="B5" s="30" t="inlineStr">
        <is>
          <t>mrpt</t>
        </is>
      </c>
      <c r="C5" s="30" t="n">
        <v>0.02</v>
      </c>
      <c r="D5" s="30" t="n">
        <v>0.5</v>
      </c>
      <c r="E5" s="30" t="n">
        <v>1</v>
      </c>
      <c r="F5" s="30" t="inlineStr">
        <is>
          <t>green</t>
        </is>
      </c>
    </row>
    <row r="6">
      <c r="A6" s="31" t="inlineStr">
        <is>
          <t>gross_leverage</t>
        </is>
      </c>
      <c r="B6" s="32" t="inlineStr">
        <is>
          <t>mtfs</t>
        </is>
      </c>
      <c r="C6" s="32" t="n">
        <v>8.58</v>
      </c>
      <c r="D6" s="32" t="n">
        <v>3</v>
      </c>
      <c r="E6" s="32" t="n">
        <v>4</v>
      </c>
      <c r="F6" s="32" t="inlineStr">
        <is>
          <t>red</t>
        </is>
      </c>
    </row>
    <row r="7">
      <c r="A7" s="31" t="inlineStr">
        <is>
          <t>net_leverage_abs</t>
        </is>
      </c>
      <c r="B7" s="32" t="inlineStr">
        <is>
          <t>mtfs</t>
        </is>
      </c>
      <c r="C7" s="32" t="n">
        <v>5.82</v>
      </c>
      <c r="D7" s="32" t="n">
        <v>0.5</v>
      </c>
      <c r="E7" s="32" t="n">
        <v>1</v>
      </c>
      <c r="F7" s="32" t="inlineStr">
        <is>
          <t>red</t>
        </is>
      </c>
    </row>
    <row r="8">
      <c r="A8" s="31" t="inlineStr">
        <is>
          <t>single_name_gross</t>
        </is>
      </c>
      <c r="B8" s="32" t="inlineStr">
        <is>
          <t>KLAC</t>
        </is>
      </c>
      <c r="C8" s="32" t="n">
        <v>208.92</v>
      </c>
      <c r="D8" s="32" t="n">
        <v>15</v>
      </c>
      <c r="E8" s="32" t="n">
        <v>25</v>
      </c>
      <c r="F8" s="32" t="inlineStr">
        <is>
          <t>red</t>
        </is>
      </c>
    </row>
    <row r="9">
      <c r="A9" s="31" t="inlineStr">
        <is>
          <t>single_name_gross</t>
        </is>
      </c>
      <c r="B9" s="32" t="inlineStr">
        <is>
          <t>BWA</t>
        </is>
      </c>
      <c r="C9" s="32" t="n">
        <v>32.69</v>
      </c>
      <c r="D9" s="32" t="n">
        <v>15</v>
      </c>
      <c r="E9" s="32" t="n">
        <v>25</v>
      </c>
      <c r="F9" s="32" t="inlineStr">
        <is>
          <t>red</t>
        </is>
      </c>
    </row>
    <row r="10">
      <c r="A10" s="31" t="inlineStr">
        <is>
          <t>single_name_gross</t>
        </is>
      </c>
      <c r="B10" s="32" t="inlineStr">
        <is>
          <t>LRCX</t>
        </is>
      </c>
      <c r="C10" s="32" t="n">
        <v>26.08</v>
      </c>
      <c r="D10" s="32" t="n">
        <v>15</v>
      </c>
      <c r="E10" s="32" t="n">
        <v>25</v>
      </c>
      <c r="F10" s="32" t="inlineStr">
        <is>
          <t>red</t>
        </is>
      </c>
    </row>
    <row r="11">
      <c r="A11" s="31" t="inlineStr">
        <is>
          <t>sector_net</t>
        </is>
      </c>
      <c r="B11" s="32" t="inlineStr">
        <is>
          <t>tech</t>
        </is>
      </c>
      <c r="C11" s="32" t="n">
        <v>61.48</v>
      </c>
      <c r="D11" s="32" t="n">
        <v>30</v>
      </c>
      <c r="E11" s="32" t="n">
        <v>50</v>
      </c>
      <c r="F11" s="32" t="inlineStr">
        <is>
          <t>red</t>
        </is>
      </c>
    </row>
    <row r="12">
      <c r="A12" s="33" t="inlineStr">
        <is>
          <t>max_pair</t>
        </is>
      </c>
      <c r="B12" s="34" t="inlineStr">
        <is>
          <t>combined</t>
        </is>
      </c>
      <c r="C12" s="34" t="n">
        <v>30.08</v>
      </c>
      <c r="D12" s="34" t="n">
        <v>20</v>
      </c>
      <c r="E12" s="34" t="n">
        <v>35</v>
      </c>
      <c r="F12" s="34" t="inlineStr">
        <is>
          <t>amber</t>
        </is>
      </c>
    </row>
    <row r="13">
      <c r="A13" s="31" t="inlineStr">
        <is>
          <t>net_market_beta</t>
        </is>
      </c>
      <c r="B13" s="32" t="inlineStr">
        <is>
          <t>combined</t>
        </is>
      </c>
      <c r="C13" s="32" t="n">
        <v>5.66</v>
      </c>
      <c r="D13" s="32" t="n">
        <v>0.3</v>
      </c>
      <c r="E13" s="32" t="n">
        <v>0.5</v>
      </c>
      <c r="F13" s="32" t="inlineStr">
        <is>
          <t>red</t>
        </is>
      </c>
    </row>
    <row r="14">
      <c r="A14" s="31" t="inlineStr">
        <is>
          <t>var_95_1d</t>
        </is>
      </c>
      <c r="B14" s="32" t="inlineStr">
        <is>
          <t>combined</t>
        </is>
      </c>
      <c r="C14" s="32" t="n">
        <v>9.9</v>
      </c>
      <c r="D14" s="32" t="n">
        <v>3</v>
      </c>
      <c r="E14" s="32" t="n">
        <v>5</v>
      </c>
      <c r="F14" s="32" t="inlineStr">
        <is>
          <t>red</t>
        </is>
      </c>
    </row>
    <row r="15">
      <c r="A15" s="29" t="inlineStr">
        <is>
          <t>open_pairs</t>
        </is>
      </c>
      <c r="B15" s="30" t="inlineStr">
        <is>
          <t>mrpt</t>
        </is>
      </c>
      <c r="C15" s="30" t="n">
        <v>1</v>
      </c>
      <c r="D15" s="30" t="n">
        <v>8</v>
      </c>
      <c r="E15" s="30" t="n"/>
      <c r="F15" s="30" t="inlineStr">
        <is>
          <t>green</t>
        </is>
      </c>
    </row>
    <row r="16">
      <c r="A16" s="33" t="inlineStr">
        <is>
          <t>open_pairs</t>
        </is>
      </c>
      <c r="B16" s="34" t="inlineStr">
        <is>
          <t>mtfs</t>
        </is>
      </c>
      <c r="C16" s="34" t="n">
        <v>14</v>
      </c>
      <c r="D16" s="34" t="n">
        <v>8</v>
      </c>
      <c r="E16" s="34" t="n"/>
      <c r="F16" s="34" t="inlineStr">
        <is>
          <t>amber</t>
        </is>
      </c>
    </row>
  </sheetData>
  <mergeCells count="1">
    <mergeCell ref="A1:F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J33"/>
  <sheetViews>
    <sheetView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10" customWidth="1" min="3" max="3"/>
    <col width="6" customWidth="1" min="4" max="4"/>
    <col width="10" customWidth="1" min="5" max="5"/>
    <col width="12" customWidth="1" min="6" max="6"/>
    <col width="14" customWidth="1" min="7" max="7"/>
    <col width="12" customWidth="1" min="8" max="8"/>
    <col width="9" customWidth="1" min="9" max="9"/>
    <col width="22" customWidth="1" min="10" max="10"/>
  </cols>
  <sheetData>
    <row r="1">
      <c r="A1" s="1" t="inlineStr">
        <is>
          <t>POSITION DETAIL — 逐腿明细</t>
        </is>
      </c>
    </row>
    <row r="3">
      <c r="A3" s="9" t="inlineStr">
        <is>
          <t>Strategy</t>
        </is>
      </c>
      <c r="B3" s="9" t="inlineStr">
        <is>
          <t>Pair</t>
        </is>
      </c>
      <c r="C3" s="9" t="inlineStr">
        <is>
          <t>Ticker</t>
        </is>
      </c>
      <c r="D3" s="9" t="inlineStr">
        <is>
          <t>Dir</t>
        </is>
      </c>
      <c r="E3" s="9" t="inlineStr">
        <is>
          <t>Shares</t>
        </is>
      </c>
      <c r="F3" s="9" t="inlineStr">
        <is>
          <t>Price ($)</t>
        </is>
      </c>
      <c r="G3" s="9" t="inlineStr">
        <is>
          <t>Market Value ($)</t>
        </is>
      </c>
      <c r="H3" s="9" t="inlineStr">
        <is>
          <t>Sector</t>
        </is>
      </c>
      <c r="I3" s="9" t="inlineStr">
        <is>
          <t>Days Held</t>
        </is>
      </c>
      <c r="J3" s="9" t="inlineStr">
        <is>
          <t>Param Set</t>
        </is>
      </c>
    </row>
    <row r="4">
      <c r="A4" s="12" t="inlineStr">
        <is>
          <t>MRPT</t>
        </is>
      </c>
      <c r="B4" s="17" t="inlineStr">
        <is>
          <t>CI/MTD</t>
        </is>
      </c>
      <c r="C4" s="17" t="inlineStr">
        <is>
          <t>CI</t>
        </is>
      </c>
      <c r="D4" s="17" t="inlineStr">
        <is>
          <t>short</t>
        </is>
      </c>
      <c r="E4" s="26" t="n">
        <v>-312</v>
      </c>
      <c r="F4" s="13" t="n">
        <v>280.68</v>
      </c>
      <c r="G4" s="18" t="n">
        <v>-87572.16</v>
      </c>
      <c r="H4" s="17" t="inlineStr">
        <is>
          <t>health</t>
        </is>
      </c>
      <c r="I4" s="17" t="n">
        <v>0</v>
      </c>
      <c r="J4" s="17" t="inlineStr">
        <is>
          <t>vol_agnostic</t>
        </is>
      </c>
    </row>
    <row r="5">
      <c r="A5" s="10" t="inlineStr">
        <is>
          <t>MRPT</t>
        </is>
      </c>
      <c r="B5" s="7" t="inlineStr">
        <is>
          <t>CI/MTD</t>
        </is>
      </c>
      <c r="C5" s="7" t="inlineStr">
        <is>
          <t>MTD</t>
        </is>
      </c>
      <c r="D5" s="7" t="inlineStr">
        <is>
          <t>long</t>
        </is>
      </c>
      <c r="E5" s="24" t="n">
        <v>82</v>
      </c>
      <c r="F5" s="4" t="n">
        <v>1180.48</v>
      </c>
      <c r="G5" s="4" t="n">
        <v>96799.36</v>
      </c>
      <c r="H5" s="7" t="inlineStr">
        <is>
          <t>health</t>
        </is>
      </c>
      <c r="I5" s="7" t="n">
        <v>0</v>
      </c>
      <c r="J5" s="7" t="inlineStr">
        <is>
          <t>vol_agnostic</t>
        </is>
      </c>
    </row>
    <row r="6">
      <c r="A6" s="12" t="inlineStr">
        <is>
          <t>MTFS</t>
        </is>
      </c>
      <c r="B6" s="17" t="inlineStr">
        <is>
          <t>ODFL/JKHY</t>
        </is>
      </c>
      <c r="C6" s="17" t="inlineStr">
        <is>
          <t>ODFL</t>
        </is>
      </c>
      <c r="D6" s="17" t="inlineStr">
        <is>
          <t>long</t>
        </is>
      </c>
      <c r="E6" s="26" t="n">
        <v>128</v>
      </c>
      <c r="F6" s="13" t="n">
        <v>245.52</v>
      </c>
      <c r="G6" s="13" t="n">
        <v>31426.56</v>
      </c>
      <c r="H6" s="17" t="inlineStr">
        <is>
          <t>industrial</t>
        </is>
      </c>
      <c r="I6" s="17" t="n">
        <v>0</v>
      </c>
      <c r="J6" s="17" t="inlineStr">
        <is>
          <t>conservative</t>
        </is>
      </c>
    </row>
    <row r="7">
      <c r="A7" s="10" t="inlineStr">
        <is>
          <t>MTFS</t>
        </is>
      </c>
      <c r="B7" s="7" t="inlineStr">
        <is>
          <t>ODFL/JKHY</t>
        </is>
      </c>
      <c r="C7" s="7" t="inlineStr">
        <is>
          <t>JKHY</t>
        </is>
      </c>
      <c r="D7" s="7" t="inlineStr">
        <is>
          <t>short</t>
        </is>
      </c>
      <c r="E7" s="24" t="n">
        <v>-191</v>
      </c>
      <c r="F7" s="4" t="n">
        <v>130.73</v>
      </c>
      <c r="G7" s="19" t="n">
        <v>-24969.43</v>
      </c>
      <c r="H7" s="7" t="inlineStr">
        <is>
          <t>finance</t>
        </is>
      </c>
      <c r="I7" s="7" t="n">
        <v>0</v>
      </c>
      <c r="J7" s="7" t="inlineStr">
        <is>
          <t>conservative</t>
        </is>
      </c>
    </row>
    <row r="8">
      <c r="A8" s="12" t="inlineStr">
        <is>
          <t>MTFS</t>
        </is>
      </c>
      <c r="B8" s="17" t="inlineStr">
        <is>
          <t>KLAC/REGN</t>
        </is>
      </c>
      <c r="C8" s="17" t="inlineStr">
        <is>
          <t>KLAC</t>
        </is>
      </c>
      <c r="D8" s="17" t="inlineStr">
        <is>
          <t>long</t>
        </is>
      </c>
      <c r="E8" s="26" t="n">
        <v>670</v>
      </c>
      <c r="F8" s="13" t="n">
        <v>2131.1</v>
      </c>
      <c r="G8" s="13" t="n">
        <v>1427837</v>
      </c>
      <c r="H8" s="17" t="inlineStr">
        <is>
          <t>tech</t>
        </is>
      </c>
      <c r="I8" s="17" t="n">
        <v>0</v>
      </c>
      <c r="J8" s="17" t="inlineStr">
        <is>
          <t>beta_neutral_long_term</t>
        </is>
      </c>
    </row>
    <row r="9">
      <c r="A9" s="10" t="inlineStr">
        <is>
          <t>MTFS</t>
        </is>
      </c>
      <c r="B9" s="7" t="inlineStr">
        <is>
          <t>KLAC/REGN</t>
        </is>
      </c>
      <c r="C9" s="7" t="inlineStr">
        <is>
          <t>REGN</t>
        </is>
      </c>
      <c r="D9" s="7" t="inlineStr">
        <is>
          <t>short</t>
        </is>
      </c>
      <c r="E9" s="24" t="n">
        <v>-23</v>
      </c>
      <c r="F9" s="4" t="n">
        <v>628.73</v>
      </c>
      <c r="G9" s="19" t="n">
        <v>-14460.79</v>
      </c>
      <c r="H9" s="7" t="inlineStr">
        <is>
          <t>health</t>
        </is>
      </c>
      <c r="I9" s="7" t="n">
        <v>0</v>
      </c>
      <c r="J9" s="7" t="inlineStr">
        <is>
          <t>beta_neutral_long_term</t>
        </is>
      </c>
    </row>
    <row r="10">
      <c r="A10" s="12" t="inlineStr">
        <is>
          <t>MTFS</t>
        </is>
      </c>
      <c r="B10" s="17" t="inlineStr">
        <is>
          <t>KLAC/LOW</t>
        </is>
      </c>
      <c r="C10" s="17" t="inlineStr">
        <is>
          <t>KLAC</t>
        </is>
      </c>
      <c r="D10" s="17" t="inlineStr">
        <is>
          <t>long</t>
        </is>
      </c>
      <c r="E10" s="26" t="n">
        <v>420</v>
      </c>
      <c r="F10" s="13" t="n">
        <v>2131.1</v>
      </c>
      <c r="G10" s="13" t="n">
        <v>895062</v>
      </c>
      <c r="H10" s="17" t="inlineStr">
        <is>
          <t>tech</t>
        </is>
      </c>
      <c r="I10" s="17" t="n">
        <v>1</v>
      </c>
      <c r="J10" s="17" t="inlineStr">
        <is>
          <t>aggressive</t>
        </is>
      </c>
    </row>
    <row r="11">
      <c r="A11" s="10" t="inlineStr">
        <is>
          <t>MTFS</t>
        </is>
      </c>
      <c r="B11" s="7" t="inlineStr">
        <is>
          <t>KLAC/LOW</t>
        </is>
      </c>
      <c r="C11" s="7" t="inlineStr">
        <is>
          <t>LOW</t>
        </is>
      </c>
      <c r="D11" s="7" t="inlineStr">
        <is>
          <t>short</t>
        </is>
      </c>
      <c r="E11" s="24" t="n">
        <v>-382</v>
      </c>
      <c r="F11" s="4" t="n">
        <v>207.53</v>
      </c>
      <c r="G11" s="19" t="n">
        <v>-79276.46000000001</v>
      </c>
      <c r="H11" s="7" t="inlineStr">
        <is>
          <t>food</t>
        </is>
      </c>
      <c r="I11" s="7" t="n">
        <v>1</v>
      </c>
      <c r="J11" s="7" t="inlineStr">
        <is>
          <t>aggressive</t>
        </is>
      </c>
    </row>
    <row r="12">
      <c r="A12" s="12" t="inlineStr">
        <is>
          <t>MTFS</t>
        </is>
      </c>
      <c r="B12" s="17" t="inlineStr">
        <is>
          <t>FFIV/VLTO</t>
        </is>
      </c>
      <c r="C12" s="17" t="inlineStr">
        <is>
          <t>FFIV</t>
        </is>
      </c>
      <c r="D12" s="17" t="inlineStr">
        <is>
          <t>long</t>
        </is>
      </c>
      <c r="E12" s="26" t="n">
        <v>426</v>
      </c>
      <c r="F12" s="13" t="n">
        <v>408.66</v>
      </c>
      <c r="G12" s="13" t="n">
        <v>174089.16</v>
      </c>
      <c r="H12" s="17" t="inlineStr">
        <is>
          <t>tech</t>
        </is>
      </c>
      <c r="I12" s="17" t="n">
        <v>0</v>
      </c>
      <c r="J12" s="17" t="inlineStr">
        <is>
          <t>long_term_tilt</t>
        </is>
      </c>
    </row>
    <row r="13">
      <c r="A13" s="10" t="inlineStr">
        <is>
          <t>MTFS</t>
        </is>
      </c>
      <c r="B13" s="7" t="inlineStr">
        <is>
          <t>FFIV/VLTO</t>
        </is>
      </c>
      <c r="C13" s="7" t="inlineStr">
        <is>
          <t>VLTO</t>
        </is>
      </c>
      <c r="D13" s="7" t="inlineStr">
        <is>
          <t>short</t>
        </is>
      </c>
      <c r="E13" s="24" t="n">
        <v>-665</v>
      </c>
      <c r="F13" s="11" t="n">
        <v>84.73999999999999</v>
      </c>
      <c r="G13" s="19" t="n">
        <v>-56352.1</v>
      </c>
      <c r="H13" s="7" t="inlineStr">
        <is>
          <t>health</t>
        </is>
      </c>
      <c r="I13" s="7" t="n">
        <v>0</v>
      </c>
      <c r="J13" s="7" t="inlineStr">
        <is>
          <t>long_term_tilt</t>
        </is>
      </c>
    </row>
    <row r="14">
      <c r="A14" s="12" t="inlineStr">
        <is>
          <t>MTFS</t>
        </is>
      </c>
      <c r="B14" s="17" t="inlineStr">
        <is>
          <t>LRCX/BSX</t>
        </is>
      </c>
      <c r="C14" s="17" t="inlineStr">
        <is>
          <t>LRCX</t>
        </is>
      </c>
      <c r="D14" s="17" t="inlineStr">
        <is>
          <t>long</t>
        </is>
      </c>
      <c r="E14" s="26" t="n">
        <v>431</v>
      </c>
      <c r="F14" s="13" t="n">
        <v>336.41</v>
      </c>
      <c r="G14" s="13" t="n">
        <v>144992.71</v>
      </c>
      <c r="H14" s="17" t="inlineStr">
        <is>
          <t>tech</t>
        </is>
      </c>
      <c r="I14" s="17" t="n">
        <v>0</v>
      </c>
      <c r="J14" s="17" t="inlineStr">
        <is>
          <t>aggressive</t>
        </is>
      </c>
    </row>
    <row r="15">
      <c r="A15" s="10" t="inlineStr">
        <is>
          <t>MTFS</t>
        </is>
      </c>
      <c r="B15" s="7" t="inlineStr">
        <is>
          <t>LRCX/BSX</t>
        </is>
      </c>
      <c r="C15" s="7" t="inlineStr">
        <is>
          <t>BSX</t>
        </is>
      </c>
      <c r="D15" s="7" t="inlineStr">
        <is>
          <t>short</t>
        </is>
      </c>
      <c r="E15" s="24" t="n">
        <v>-1706</v>
      </c>
      <c r="F15" s="11" t="n">
        <v>48.85</v>
      </c>
      <c r="G15" s="19" t="n">
        <v>-83338.10000000001</v>
      </c>
      <c r="H15" s="7" t="inlineStr">
        <is>
          <t>health</t>
        </is>
      </c>
      <c r="I15" s="7" t="n">
        <v>0</v>
      </c>
      <c r="J15" s="7" t="inlineStr">
        <is>
          <t>aggressive</t>
        </is>
      </c>
    </row>
    <row r="16">
      <c r="A16" s="12" t="inlineStr">
        <is>
          <t>MTFS</t>
        </is>
      </c>
      <c r="B16" s="17" t="inlineStr">
        <is>
          <t>LRCX/RMD</t>
        </is>
      </c>
      <c r="C16" s="17" t="inlineStr">
        <is>
          <t>LRCX</t>
        </is>
      </c>
      <c r="D16" s="17" t="inlineStr">
        <is>
          <t>long</t>
        </is>
      </c>
      <c r="E16" s="26" t="n">
        <v>431</v>
      </c>
      <c r="F16" s="13" t="n">
        <v>336.41</v>
      </c>
      <c r="G16" s="13" t="n">
        <v>144992.71</v>
      </c>
      <c r="H16" s="17" t="inlineStr">
        <is>
          <t>tech</t>
        </is>
      </c>
      <c r="I16" s="17" t="n">
        <v>1</v>
      </c>
      <c r="J16" s="17" t="inlineStr">
        <is>
          <t>fast_rebalance</t>
        </is>
      </c>
    </row>
    <row r="17">
      <c r="A17" s="10" t="inlineStr">
        <is>
          <t>MTFS</t>
        </is>
      </c>
      <c r="B17" s="7" t="inlineStr">
        <is>
          <t>LRCX/RMD</t>
        </is>
      </c>
      <c r="C17" s="7" t="inlineStr">
        <is>
          <t>RMD</t>
        </is>
      </c>
      <c r="D17" s="7" t="inlineStr">
        <is>
          <t>short</t>
        </is>
      </c>
      <c r="E17" s="24" t="n">
        <v>-288</v>
      </c>
      <c r="F17" s="4" t="n">
        <v>194.32</v>
      </c>
      <c r="G17" s="19" t="n">
        <v>-55964.16</v>
      </c>
      <c r="H17" s="7" t="inlineStr">
        <is>
          <t>health</t>
        </is>
      </c>
      <c r="I17" s="7" t="n">
        <v>1</v>
      </c>
      <c r="J17" s="7" t="inlineStr">
        <is>
          <t>fast_rebalance</t>
        </is>
      </c>
    </row>
    <row r="18">
      <c r="A18" s="12" t="inlineStr">
        <is>
          <t>MTFS</t>
        </is>
      </c>
      <c r="B18" s="17" t="inlineStr">
        <is>
          <t>CSCO/CAG</t>
        </is>
      </c>
      <c r="C18" s="17" t="inlineStr">
        <is>
          <t>CSCO</t>
        </is>
      </c>
      <c r="D18" s="17" t="inlineStr">
        <is>
          <t>long</t>
        </is>
      </c>
      <c r="E18" s="26" t="n">
        <v>912</v>
      </c>
      <c r="F18" s="13" t="n">
        <v>130</v>
      </c>
      <c r="G18" s="13" t="n">
        <v>118560</v>
      </c>
      <c r="H18" s="17" t="inlineStr">
        <is>
          <t>tech</t>
        </is>
      </c>
      <c r="I18" s="17" t="n">
        <v>0</v>
      </c>
      <c r="J18" s="17" t="inlineStr">
        <is>
          <t>fast_strict</t>
        </is>
      </c>
    </row>
    <row r="19">
      <c r="A19" s="10" t="inlineStr">
        <is>
          <t>MTFS</t>
        </is>
      </c>
      <c r="B19" s="7" t="inlineStr">
        <is>
          <t>CSCO/CAG</t>
        </is>
      </c>
      <c r="C19" s="7" t="inlineStr">
        <is>
          <t>CAG</t>
        </is>
      </c>
      <c r="D19" s="7" t="inlineStr">
        <is>
          <t>short</t>
        </is>
      </c>
      <c r="E19" s="24" t="n">
        <v>-4137</v>
      </c>
      <c r="F19" s="11" t="n">
        <v>12.68</v>
      </c>
      <c r="G19" s="19" t="n">
        <v>-52457.16</v>
      </c>
      <c r="H19" s="7" t="inlineStr">
        <is>
          <t>food</t>
        </is>
      </c>
      <c r="I19" s="7" t="n">
        <v>0</v>
      </c>
      <c r="J19" s="7" t="inlineStr">
        <is>
          <t>fast_strict</t>
        </is>
      </c>
    </row>
    <row r="20">
      <c r="A20" s="12" t="inlineStr">
        <is>
          <t>MTFS</t>
        </is>
      </c>
      <c r="B20" s="17" t="inlineStr">
        <is>
          <t>NUE/INTU</t>
        </is>
      </c>
      <c r="C20" s="17" t="inlineStr">
        <is>
          <t>NUE</t>
        </is>
      </c>
      <c r="D20" s="17" t="inlineStr">
        <is>
          <t>long</t>
        </is>
      </c>
      <c r="E20" s="26" t="n">
        <v>329</v>
      </c>
      <c r="F20" s="13" t="n">
        <v>262.28</v>
      </c>
      <c r="G20" s="13" t="n">
        <v>86290.12</v>
      </c>
      <c r="H20" s="17" t="inlineStr">
        <is>
          <t>materials</t>
        </is>
      </c>
      <c r="I20" s="17" t="n">
        <v>0</v>
      </c>
      <c r="J20" s="17" t="inlineStr">
        <is>
          <t>conservative</t>
        </is>
      </c>
    </row>
    <row r="21">
      <c r="A21" s="10" t="inlineStr">
        <is>
          <t>MTFS</t>
        </is>
      </c>
      <c r="B21" s="7" t="inlineStr">
        <is>
          <t>NUE/INTU</t>
        </is>
      </c>
      <c r="C21" s="7" t="inlineStr">
        <is>
          <t>INTU</t>
        </is>
      </c>
      <c r="D21" s="7" t="inlineStr">
        <is>
          <t>short</t>
        </is>
      </c>
      <c r="E21" s="24" t="n">
        <v>-82</v>
      </c>
      <c r="F21" s="4" t="n">
        <v>301.98</v>
      </c>
      <c r="G21" s="19" t="n">
        <v>-24762.36</v>
      </c>
      <c r="H21" s="7" t="inlineStr">
        <is>
          <t>tech</t>
        </is>
      </c>
      <c r="I21" s="7" t="n">
        <v>0</v>
      </c>
      <c r="J21" s="7" t="inlineStr">
        <is>
          <t>conservative</t>
        </is>
      </c>
    </row>
    <row r="22">
      <c r="A22" s="12" t="inlineStr">
        <is>
          <t>MTFS</t>
        </is>
      </c>
      <c r="B22" s="17" t="inlineStr">
        <is>
          <t>CSCO/REGN</t>
        </is>
      </c>
      <c r="C22" s="17" t="inlineStr">
        <is>
          <t>CSCO</t>
        </is>
      </c>
      <c r="D22" s="17" t="inlineStr">
        <is>
          <t>long</t>
        </is>
      </c>
      <c r="E22" s="26" t="n">
        <v>912</v>
      </c>
      <c r="F22" s="13" t="n">
        <v>130</v>
      </c>
      <c r="G22" s="13" t="n">
        <v>118560</v>
      </c>
      <c r="H22" s="17" t="inlineStr">
        <is>
          <t>tech</t>
        </is>
      </c>
      <c r="I22" s="17" t="n">
        <v>0</v>
      </c>
      <c r="J22" s="17" t="inlineStr">
        <is>
          <t>monthly_aligned_windows</t>
        </is>
      </c>
    </row>
    <row r="23">
      <c r="A23" s="10" t="inlineStr">
        <is>
          <t>MTFS</t>
        </is>
      </c>
      <c r="B23" s="7" t="inlineStr">
        <is>
          <t>CSCO/REGN</t>
        </is>
      </c>
      <c r="C23" s="7" t="inlineStr">
        <is>
          <t>REGN</t>
        </is>
      </c>
      <c r="D23" s="7" t="inlineStr">
        <is>
          <t>short</t>
        </is>
      </c>
      <c r="E23" s="24" t="n">
        <v>-89</v>
      </c>
      <c r="F23" s="4" t="n">
        <v>628.73</v>
      </c>
      <c r="G23" s="19" t="n">
        <v>-55956.97</v>
      </c>
      <c r="H23" s="7" t="inlineStr">
        <is>
          <t>health</t>
        </is>
      </c>
      <c r="I23" s="7" t="n">
        <v>0</v>
      </c>
      <c r="J23" s="7" t="inlineStr">
        <is>
          <t>monthly_aligned_windows</t>
        </is>
      </c>
    </row>
    <row r="24">
      <c r="A24" s="12" t="inlineStr">
        <is>
          <t>MTFS</t>
        </is>
      </c>
      <c r="B24" s="17" t="inlineStr">
        <is>
          <t>NUE/MKTX</t>
        </is>
      </c>
      <c r="C24" s="17" t="inlineStr">
        <is>
          <t>NUE</t>
        </is>
      </c>
      <c r="D24" s="17" t="inlineStr">
        <is>
          <t>long</t>
        </is>
      </c>
      <c r="E24" s="26" t="n">
        <v>329</v>
      </c>
      <c r="F24" s="13" t="n">
        <v>262.28</v>
      </c>
      <c r="G24" s="13" t="n">
        <v>86290.12</v>
      </c>
      <c r="H24" s="17" t="inlineStr">
        <is>
          <t>materials</t>
        </is>
      </c>
      <c r="I24" s="17" t="n">
        <v>0</v>
      </c>
      <c r="J24" s="17" t="inlineStr">
        <is>
          <t>weekly_aligned_windows</t>
        </is>
      </c>
    </row>
    <row r="25">
      <c r="A25" s="10" t="inlineStr">
        <is>
          <t>MTFS</t>
        </is>
      </c>
      <c r="B25" s="7" t="inlineStr">
        <is>
          <t>NUE/MKTX</t>
        </is>
      </c>
      <c r="C25" s="7" t="inlineStr">
        <is>
          <t>MKTX</t>
        </is>
      </c>
      <c r="D25" s="7" t="inlineStr">
        <is>
          <t>short</t>
        </is>
      </c>
      <c r="E25" s="24" t="n">
        <v>-422</v>
      </c>
      <c r="F25" s="4" t="n">
        <v>120.62</v>
      </c>
      <c r="G25" s="19" t="n">
        <v>-50901.64</v>
      </c>
      <c r="H25" s="7" t="inlineStr">
        <is>
          <t>tech</t>
        </is>
      </c>
      <c r="I25" s="7" t="n">
        <v>0</v>
      </c>
      <c r="J25" s="7" t="inlineStr">
        <is>
          <t>weekly_aligned_windows</t>
        </is>
      </c>
    </row>
    <row r="26">
      <c r="A26" s="12" t="inlineStr">
        <is>
          <t>MTFS</t>
        </is>
      </c>
      <c r="B26" s="17" t="inlineStr">
        <is>
          <t>STLD/ISRG</t>
        </is>
      </c>
      <c r="C26" s="17" t="inlineStr">
        <is>
          <t>STLD</t>
        </is>
      </c>
      <c r="D26" s="17" t="inlineStr">
        <is>
          <t>long</t>
        </is>
      </c>
      <c r="E26" s="26" t="n">
        <v>502</v>
      </c>
      <c r="F26" s="13" t="n">
        <v>276.85</v>
      </c>
      <c r="G26" s="13" t="n">
        <v>138978.7</v>
      </c>
      <c r="H26" s="17" t="inlineStr">
        <is>
          <t>materials</t>
        </is>
      </c>
      <c r="I26" s="17" t="n">
        <v>1</v>
      </c>
      <c r="J26" s="17" t="inlineStr">
        <is>
          <t>beta_neutral</t>
        </is>
      </c>
    </row>
    <row r="27">
      <c r="A27" s="10" t="inlineStr">
        <is>
          <t>MTFS</t>
        </is>
      </c>
      <c r="B27" s="7" t="inlineStr">
        <is>
          <t>STLD/ISRG</t>
        </is>
      </c>
      <c r="C27" s="7" t="inlineStr">
        <is>
          <t>ISRG</t>
        </is>
      </c>
      <c r="D27" s="7" t="inlineStr">
        <is>
          <t>short</t>
        </is>
      </c>
      <c r="E27" s="24" t="n">
        <v>-79</v>
      </c>
      <c r="F27" s="4" t="n">
        <v>418.82</v>
      </c>
      <c r="G27" s="19" t="n">
        <v>-33086.78</v>
      </c>
      <c r="H27" s="7" t="inlineStr">
        <is>
          <t>health</t>
        </is>
      </c>
      <c r="I27" s="7" t="n">
        <v>1</v>
      </c>
      <c r="J27" s="7" t="inlineStr">
        <is>
          <t>beta_neutral</t>
        </is>
      </c>
    </row>
    <row r="28">
      <c r="A28" s="12" t="inlineStr">
        <is>
          <t>MTFS</t>
        </is>
      </c>
      <c r="B28" s="17" t="inlineStr">
        <is>
          <t>BWA/VLTO</t>
        </is>
      </c>
      <c r="C28" s="17" t="inlineStr">
        <is>
          <t>BWA</t>
        </is>
      </c>
      <c r="D28" s="17" t="inlineStr">
        <is>
          <t>long</t>
        </is>
      </c>
      <c r="E28" s="26" t="n">
        <v>2359</v>
      </c>
      <c r="F28" s="15" t="n">
        <v>77.03</v>
      </c>
      <c r="G28" s="13" t="n">
        <v>181713.77</v>
      </c>
      <c r="H28" s="17" t="inlineStr">
        <is>
          <t>industrial</t>
        </is>
      </c>
      <c r="I28" s="17" t="n">
        <v>0</v>
      </c>
      <c r="J28" s="17" t="inlineStr">
        <is>
          <t>kalman_aggressive</t>
        </is>
      </c>
    </row>
    <row r="29">
      <c r="A29" s="10" t="inlineStr">
        <is>
          <t>MTFS</t>
        </is>
      </c>
      <c r="B29" s="7" t="inlineStr">
        <is>
          <t>BWA/VLTO</t>
        </is>
      </c>
      <c r="C29" s="7" t="inlineStr">
        <is>
          <t>VLTO</t>
        </is>
      </c>
      <c r="D29" s="7" t="inlineStr">
        <is>
          <t>short</t>
        </is>
      </c>
      <c r="E29" s="24" t="n">
        <v>-961</v>
      </c>
      <c r="F29" s="11" t="n">
        <v>84.73999999999999</v>
      </c>
      <c r="G29" s="19" t="n">
        <v>-81435.14</v>
      </c>
      <c r="H29" s="7" t="inlineStr">
        <is>
          <t>health</t>
        </is>
      </c>
      <c r="I29" s="7" t="n">
        <v>0</v>
      </c>
      <c r="J29" s="7" t="inlineStr">
        <is>
          <t>kalman_aggressive</t>
        </is>
      </c>
    </row>
    <row r="30">
      <c r="A30" s="12" t="inlineStr">
        <is>
          <t>MTFS</t>
        </is>
      </c>
      <c r="B30" s="17" t="inlineStr">
        <is>
          <t>STLD/HII</t>
        </is>
      </c>
      <c r="C30" s="17" t="inlineStr">
        <is>
          <t>STLD</t>
        </is>
      </c>
      <c r="D30" s="17" t="inlineStr">
        <is>
          <t>long</t>
        </is>
      </c>
      <c r="E30" s="26" t="n">
        <v>502</v>
      </c>
      <c r="F30" s="13" t="n">
        <v>276.85</v>
      </c>
      <c r="G30" s="13" t="n">
        <v>138978.7</v>
      </c>
      <c r="H30" s="17" t="inlineStr">
        <is>
          <t>materials</t>
        </is>
      </c>
      <c r="I30" s="17" t="n">
        <v>0</v>
      </c>
      <c r="J30" s="17" t="inlineStr">
        <is>
          <t>weekly_aligned_windows</t>
        </is>
      </c>
    </row>
    <row r="31">
      <c r="A31" s="10" t="inlineStr">
        <is>
          <t>MTFS</t>
        </is>
      </c>
      <c r="B31" s="7" t="inlineStr">
        <is>
          <t>STLD/HII</t>
        </is>
      </c>
      <c r="C31" s="7" t="inlineStr">
        <is>
          <t>HII</t>
        </is>
      </c>
      <c r="D31" s="7" t="inlineStr">
        <is>
          <t>short</t>
        </is>
      </c>
      <c r="E31" s="24" t="n">
        <v>-178</v>
      </c>
      <c r="F31" s="4" t="n">
        <v>294.53</v>
      </c>
      <c r="G31" s="19" t="n">
        <v>-52426.34</v>
      </c>
      <c r="H31" s="7" t="inlineStr">
        <is>
          <t>industrial</t>
        </is>
      </c>
      <c r="I31" s="7" t="n">
        <v>0</v>
      </c>
      <c r="J31" s="7" t="inlineStr">
        <is>
          <t>weekly_aligned_windows</t>
        </is>
      </c>
    </row>
    <row r="32">
      <c r="A32" s="12" t="inlineStr">
        <is>
          <t>MTFS</t>
        </is>
      </c>
      <c r="B32" s="17" t="inlineStr">
        <is>
          <t>BWA/CME</t>
        </is>
      </c>
      <c r="C32" s="17" t="inlineStr">
        <is>
          <t>BWA</t>
        </is>
      </c>
      <c r="D32" s="17" t="inlineStr">
        <is>
          <t>long</t>
        </is>
      </c>
      <c r="E32" s="26" t="n">
        <v>2359</v>
      </c>
      <c r="F32" s="15" t="n">
        <v>77.03</v>
      </c>
      <c r="G32" s="13" t="n">
        <v>181713.77</v>
      </c>
      <c r="H32" s="17" t="inlineStr">
        <is>
          <t>industrial</t>
        </is>
      </c>
      <c r="I32" s="17" t="n">
        <v>0</v>
      </c>
      <c r="J32" s="17" t="inlineStr">
        <is>
          <t>kalman_aggressive</t>
        </is>
      </c>
    </row>
    <row r="33">
      <c r="A33" s="10" t="inlineStr">
        <is>
          <t>MTFS</t>
        </is>
      </c>
      <c r="B33" s="7" t="inlineStr">
        <is>
          <t>BWA/CME</t>
        </is>
      </c>
      <c r="C33" s="7" t="inlineStr">
        <is>
          <t>CME</t>
        </is>
      </c>
      <c r="D33" s="7" t="inlineStr">
        <is>
          <t>short</t>
        </is>
      </c>
      <c r="E33" s="24" t="n">
        <v>-298</v>
      </c>
      <c r="F33" s="4" t="n">
        <v>256.06</v>
      </c>
      <c r="G33" s="19" t="n">
        <v>-76305.88</v>
      </c>
      <c r="H33" s="7" t="inlineStr">
        <is>
          <t>finance</t>
        </is>
      </c>
      <c r="I33" s="7" t="n">
        <v>0</v>
      </c>
      <c r="J33" s="7" t="inlineStr">
        <is>
          <t>kalman_aggressive</t>
        </is>
      </c>
    </row>
  </sheetData>
  <mergeCells count="1">
    <mergeCell ref="A1:J1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16" customWidth="1" min="3" max="3"/>
    <col width="16" customWidth="1" min="4" max="4"/>
    <col width="9" customWidth="1" min="5" max="5"/>
    <col width="22" customWidth="1" min="6" max="6"/>
    <col width="9" customWidth="1" min="7" max="7"/>
  </cols>
  <sheetData>
    <row r="1">
      <c r="A1" s="1" t="inlineStr">
        <is>
          <t>PER-PAIR PnL ATTRIBUTION — 配对盈亏归因</t>
        </is>
      </c>
    </row>
    <row r="3">
      <c r="A3" s="9" t="inlineStr">
        <is>
          <t>Strategy</t>
        </is>
      </c>
      <c r="B3" s="9" t="inlineStr">
        <is>
          <t>Pair</t>
        </is>
      </c>
      <c r="C3" s="9" t="inlineStr">
        <is>
          <t>Unrealized PnL ($)</t>
        </is>
      </c>
      <c r="D3" s="9" t="inlineStr">
        <is>
          <t>Gross Notional ($)</t>
        </is>
      </c>
      <c r="E3" s="9" t="inlineStr">
        <is>
          <t>Days Held</t>
        </is>
      </c>
      <c r="F3" s="9" t="inlineStr">
        <is>
          <t>Param Set</t>
        </is>
      </c>
      <c r="G3" s="9" t="inlineStr">
        <is>
          <t>Direction</t>
        </is>
      </c>
    </row>
    <row r="4">
      <c r="A4" s="12" t="inlineStr">
        <is>
          <t>MRPT</t>
        </is>
      </c>
      <c r="B4" s="17" t="inlineStr">
        <is>
          <t>CI/MTD</t>
        </is>
      </c>
      <c r="C4" s="13" t="n">
        <v>10977.58</v>
      </c>
      <c r="D4" s="13" t="n">
        <v>184371.52</v>
      </c>
      <c r="E4" s="17" t="n">
        <v>0</v>
      </c>
      <c r="F4" s="17" t="inlineStr">
        <is>
          <t>vol_agnostic</t>
        </is>
      </c>
      <c r="G4" s="17" t="inlineStr">
        <is>
          <t>short</t>
        </is>
      </c>
    </row>
    <row r="5">
      <c r="A5" s="10" t="inlineStr">
        <is>
          <t>MTFS</t>
        </is>
      </c>
      <c r="B5" s="7" t="inlineStr">
        <is>
          <t>ODFL/JKHY</t>
        </is>
      </c>
      <c r="C5" s="4" t="n">
        <v>6528.77</v>
      </c>
      <c r="D5" s="4" t="n">
        <v>56395.99</v>
      </c>
      <c r="E5" s="7" t="n">
        <v>0</v>
      </c>
      <c r="F5" s="7" t="inlineStr">
        <is>
          <t>conservative</t>
        </is>
      </c>
      <c r="G5" s="7" t="inlineStr">
        <is>
          <t>long</t>
        </is>
      </c>
    </row>
    <row r="6">
      <c r="A6" s="12" t="inlineStr">
        <is>
          <t>MTFS</t>
        </is>
      </c>
      <c r="B6" s="17" t="inlineStr">
        <is>
          <t>KLAC/REGN</t>
        </is>
      </c>
      <c r="C6" s="13" t="n">
        <v>1293209.34</v>
      </c>
      <c r="D6" s="13" t="n">
        <v>1442297.79</v>
      </c>
      <c r="E6" s="17" t="n">
        <v>0</v>
      </c>
      <c r="F6" s="17" t="inlineStr">
        <is>
          <t>beta_neutral_long_term</t>
        </is>
      </c>
      <c r="G6" s="17" t="inlineStr">
        <is>
          <t>long</t>
        </is>
      </c>
    </row>
    <row r="7">
      <c r="A7" s="10" t="inlineStr">
        <is>
          <t>MTFS</t>
        </is>
      </c>
      <c r="B7" s="7" t="inlineStr">
        <is>
          <t>KLAC/LOW</t>
        </is>
      </c>
      <c r="C7" s="4" t="n">
        <v>818070.52</v>
      </c>
      <c r="D7" s="4" t="n">
        <v>974338.46</v>
      </c>
      <c r="E7" s="7" t="n">
        <v>1</v>
      </c>
      <c r="F7" s="7" t="inlineStr">
        <is>
          <t>aggressive</t>
        </is>
      </c>
      <c r="G7" s="7" t="inlineStr">
        <is>
          <t>long</t>
        </is>
      </c>
    </row>
    <row r="8">
      <c r="A8" s="12" t="inlineStr">
        <is>
          <t>MTFS</t>
        </is>
      </c>
      <c r="B8" s="17" t="inlineStr">
        <is>
          <t>FFIV/VLTO</t>
        </is>
      </c>
      <c r="C8" s="13" t="n">
        <v>9910.08</v>
      </c>
      <c r="D8" s="13" t="n">
        <v>230441.26</v>
      </c>
      <c r="E8" s="17" t="n">
        <v>0</v>
      </c>
      <c r="F8" s="17" t="inlineStr">
        <is>
          <t>long_term_tilt</t>
        </is>
      </c>
      <c r="G8" s="17" t="inlineStr">
        <is>
          <t>long</t>
        </is>
      </c>
    </row>
    <row r="9">
      <c r="A9" s="10" t="inlineStr">
        <is>
          <t>MTFS</t>
        </is>
      </c>
      <c r="B9" s="7" t="inlineStr">
        <is>
          <t>LRCX/BSX</t>
        </is>
      </c>
      <c r="C9" s="4" t="n">
        <v>6935.89</v>
      </c>
      <c r="D9" s="4" t="n">
        <v>228330.81</v>
      </c>
      <c r="E9" s="7" t="n">
        <v>0</v>
      </c>
      <c r="F9" s="7" t="inlineStr">
        <is>
          <t>aggressive</t>
        </is>
      </c>
      <c r="G9" s="7" t="inlineStr">
        <is>
          <t>long</t>
        </is>
      </c>
    </row>
    <row r="10">
      <c r="A10" s="12" t="inlineStr">
        <is>
          <t>MTFS</t>
        </is>
      </c>
      <c r="B10" s="17" t="inlineStr">
        <is>
          <t>LRCX/RMD</t>
        </is>
      </c>
      <c r="C10" s="13" t="n">
        <v>6777.13</v>
      </c>
      <c r="D10" s="13" t="n">
        <v>200956.87</v>
      </c>
      <c r="E10" s="17" t="n">
        <v>1</v>
      </c>
      <c r="F10" s="17" t="inlineStr">
        <is>
          <t>fast_rebalance</t>
        </is>
      </c>
      <c r="G10" s="17" t="inlineStr">
        <is>
          <t>long</t>
        </is>
      </c>
    </row>
    <row r="11">
      <c r="A11" s="10" t="inlineStr">
        <is>
          <t>MTFS</t>
        </is>
      </c>
      <c r="B11" s="7" t="inlineStr">
        <is>
          <t>CSCO/CAG</t>
        </is>
      </c>
      <c r="C11" s="4" t="n">
        <v>11219.16</v>
      </c>
      <c r="D11" s="4" t="n">
        <v>171017.16</v>
      </c>
      <c r="E11" s="7" t="n">
        <v>0</v>
      </c>
      <c r="F11" s="7" t="inlineStr">
        <is>
          <t>fast_strict</t>
        </is>
      </c>
      <c r="G11" s="7" t="inlineStr">
        <is>
          <t>long</t>
        </is>
      </c>
    </row>
    <row r="12">
      <c r="A12" s="12" t="inlineStr">
        <is>
          <t>MTFS</t>
        </is>
      </c>
      <c r="B12" s="17" t="inlineStr">
        <is>
          <t>NUE/INTU</t>
        </is>
      </c>
      <c r="C12" s="13" t="n">
        <v>6463.22</v>
      </c>
      <c r="D12" s="13" t="n">
        <v>111052.48</v>
      </c>
      <c r="E12" s="17" t="n">
        <v>0</v>
      </c>
      <c r="F12" s="17" t="inlineStr">
        <is>
          <t>conservative</t>
        </is>
      </c>
      <c r="G12" s="17" t="inlineStr">
        <is>
          <t>long</t>
        </is>
      </c>
    </row>
    <row r="13">
      <c r="A13" s="10" t="inlineStr">
        <is>
          <t>MTFS</t>
        </is>
      </c>
      <c r="B13" s="7" t="inlineStr">
        <is>
          <t>CSCO/REGN</t>
        </is>
      </c>
      <c r="C13" s="4" t="n">
        <v>7495.41</v>
      </c>
      <c r="D13" s="4" t="n">
        <v>174516.97</v>
      </c>
      <c r="E13" s="7" t="n">
        <v>0</v>
      </c>
      <c r="F13" s="7" t="inlineStr">
        <is>
          <t>monthly_aligned_windows</t>
        </is>
      </c>
      <c r="G13" s="7" t="inlineStr">
        <is>
          <t>long</t>
        </is>
      </c>
    </row>
    <row r="14">
      <c r="A14" s="12" t="inlineStr">
        <is>
          <t>MTFS</t>
        </is>
      </c>
      <c r="B14" s="17" t="inlineStr">
        <is>
          <t>NUE/MKTX</t>
        </is>
      </c>
      <c r="C14" s="13" t="n">
        <v>8015.36</v>
      </c>
      <c r="D14" s="13" t="n">
        <v>137191.76</v>
      </c>
      <c r="E14" s="17" t="n">
        <v>0</v>
      </c>
      <c r="F14" s="17" t="inlineStr">
        <is>
          <t>weekly_aligned_windows</t>
        </is>
      </c>
      <c r="G14" s="17" t="inlineStr">
        <is>
          <t>long</t>
        </is>
      </c>
    </row>
    <row r="15">
      <c r="A15" s="10" t="inlineStr">
        <is>
          <t>MTFS</t>
        </is>
      </c>
      <c r="B15" s="7" t="inlineStr">
        <is>
          <t>STLD/ISRG</t>
        </is>
      </c>
      <c r="C15" s="4" t="n">
        <v>8843.18</v>
      </c>
      <c r="D15" s="4" t="n">
        <v>172065.48</v>
      </c>
      <c r="E15" s="7" t="n">
        <v>1</v>
      </c>
      <c r="F15" s="7" t="inlineStr">
        <is>
          <t>beta_neutral</t>
        </is>
      </c>
      <c r="G15" s="7" t="inlineStr">
        <is>
          <t>long</t>
        </is>
      </c>
    </row>
    <row r="16">
      <c r="A16" s="12" t="inlineStr">
        <is>
          <t>MTFS</t>
        </is>
      </c>
      <c r="B16" s="17" t="inlineStr">
        <is>
          <t>BWA/VLTO</t>
        </is>
      </c>
      <c r="C16" s="13" t="n">
        <v>10279.31</v>
      </c>
      <c r="D16" s="13" t="n">
        <v>263148.91</v>
      </c>
      <c r="E16" s="17" t="n">
        <v>0</v>
      </c>
      <c r="F16" s="17" t="inlineStr">
        <is>
          <t>kalman_aggressive</t>
        </is>
      </c>
      <c r="G16" s="17" t="inlineStr">
        <is>
          <t>long</t>
        </is>
      </c>
    </row>
    <row r="17">
      <c r="A17" s="10" t="inlineStr">
        <is>
          <t>MTFS</t>
        </is>
      </c>
      <c r="B17" s="7" t="inlineStr">
        <is>
          <t>STLD/HII</t>
        </is>
      </c>
      <c r="C17" s="4" t="n">
        <v>10811.32</v>
      </c>
      <c r="D17" s="4" t="n">
        <v>191405.04</v>
      </c>
      <c r="E17" s="7" t="n">
        <v>0</v>
      </c>
      <c r="F17" s="7" t="inlineStr">
        <is>
          <t>weekly_aligned_windows</t>
        </is>
      </c>
      <c r="G17" s="7" t="inlineStr">
        <is>
          <t>long</t>
        </is>
      </c>
    </row>
    <row r="18">
      <c r="A18" s="12" t="inlineStr">
        <is>
          <t>MTFS</t>
        </is>
      </c>
      <c r="B18" s="17" t="inlineStr">
        <is>
          <t>BWA/CME</t>
        </is>
      </c>
      <c r="C18" s="13" t="n">
        <v>17900.46</v>
      </c>
      <c r="D18" s="13" t="n">
        <v>258019.65</v>
      </c>
      <c r="E18" s="17" t="n">
        <v>0</v>
      </c>
      <c r="F18" s="17" t="inlineStr">
        <is>
          <t>kalman_aggressive</t>
        </is>
      </c>
      <c r="G18" s="17" t="inlineStr">
        <is>
          <t>long</t>
        </is>
      </c>
    </row>
  </sheetData>
  <mergeCells count="1">
    <mergeCell ref="A1:G1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14" customWidth="1" min="1" max="1"/>
    <col width="26" customWidth="1" min="2" max="2"/>
    <col width="26" customWidth="1" min="3" max="3"/>
  </cols>
  <sheetData>
    <row r="1">
      <c r="A1" s="1" t="inlineStr">
        <is>
          <t>INVENTORY RECONCILIATION — 快照来源审计</t>
        </is>
      </c>
    </row>
    <row r="3">
      <c r="A3" s="9" t="inlineStr">
        <is>
          <t>Period</t>
        </is>
      </c>
      <c r="B3" s="9" t="inlineStr">
        <is>
          <t>MRPT snapshot as-of</t>
        </is>
      </c>
      <c r="C3" s="9" t="inlineStr">
        <is>
          <t>MTFS snapshot as-of</t>
        </is>
      </c>
    </row>
    <row r="4">
      <c r="A4" s="10" t="inlineStr">
        <is>
          <t>T</t>
        </is>
      </c>
      <c r="B4" s="7" t="inlineStr">
        <is>
          <t>2026-06-04</t>
        </is>
      </c>
      <c r="C4" s="7" t="inlineStr">
        <is>
          <t>2026-06-04</t>
        </is>
      </c>
    </row>
    <row r="5">
      <c r="A5" s="12" t="inlineStr">
        <is>
          <t>T_1D</t>
        </is>
      </c>
      <c r="B5" s="17" t="inlineStr">
        <is>
          <t>2026-06-03</t>
        </is>
      </c>
      <c r="C5" s="17" t="inlineStr">
        <is>
          <t>2026-06-03</t>
        </is>
      </c>
    </row>
    <row r="6">
      <c r="A6" s="10" t="inlineStr">
        <is>
          <t>T_1W</t>
        </is>
      </c>
      <c r="B6" s="7" t="inlineStr">
        <is>
          <t>2026-05-28</t>
        </is>
      </c>
      <c r="C6" s="7" t="inlineStr">
        <is>
          <t>2026-05-28</t>
        </is>
      </c>
    </row>
    <row r="7">
      <c r="A7" s="12" t="inlineStr">
        <is>
          <t>T_1M</t>
        </is>
      </c>
      <c r="B7" s="17" t="inlineStr">
        <is>
          <t>2026-05-06</t>
        </is>
      </c>
      <c r="C7" s="17" t="inlineStr">
        <is>
          <t>2026-05-06</t>
        </is>
      </c>
    </row>
  </sheetData>
  <mergeCells count="1">
    <mergeCell ref="A1:D1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16" customWidth="1" min="3" max="3"/>
    <col width="14" customWidth="1" min="4" max="4"/>
    <col width="14" customWidth="1" min="5" max="5"/>
  </cols>
  <sheetData>
    <row r="1">
      <c r="A1" s="1" t="inlineStr">
        <is>
          <t>RISK CONTRIBUTION — 风险贡献 (Maillard et al. 2010)</t>
        </is>
      </c>
    </row>
    <row r="2">
      <c r="A2" s="2" t="inlineStr">
        <is>
          <t>Maillard, Roncalli &amp; Teiletche (2010), J. Portfolio Mgmt</t>
        </is>
      </c>
    </row>
    <row r="4">
      <c r="A4" s="28" t="inlineStr">
        <is>
          <t>MASTER (4 strategies) — 等资本 vs 等风险</t>
        </is>
      </c>
    </row>
    <row r="5">
      <c r="A5" s="9" t="inlineStr">
        <is>
          <t>Component</t>
        </is>
      </c>
      <c r="B5" s="9" t="inlineStr">
        <is>
          <t>Capital Wt %</t>
        </is>
      </c>
      <c r="C5" s="9" t="inlineStr">
        <is>
          <t>Risk Contrib %</t>
        </is>
      </c>
      <c r="D5" s="9" t="inlineStr">
        <is>
          <t>ERC Target %</t>
        </is>
      </c>
      <c r="E5" s="9" t="inlineStr">
        <is>
          <t>Divergence %</t>
        </is>
      </c>
    </row>
    <row r="6">
      <c r="A6" s="10" t="inlineStr">
        <is>
          <t>MRPT</t>
        </is>
      </c>
      <c r="B6" s="7" t="n">
        <v>14.74</v>
      </c>
      <c r="C6" s="7" t="n">
        <v>-0.49</v>
      </c>
      <c r="D6" s="7" t="n">
        <v>25</v>
      </c>
      <c r="E6" s="22" t="n">
        <v>-15.23</v>
      </c>
    </row>
    <row r="7">
      <c r="A7" s="12" t="inlineStr">
        <is>
          <t>MTFS</t>
        </is>
      </c>
      <c r="B7" s="17" t="n">
        <v>13.78</v>
      </c>
      <c r="C7" s="17" t="n">
        <v>15.77</v>
      </c>
      <c r="D7" s="17" t="n">
        <v>25</v>
      </c>
      <c r="E7" s="20" t="n">
        <v>1.99</v>
      </c>
    </row>
    <row r="8">
      <c r="A8" s="10" t="inlineStr">
        <is>
          <t>SSRS</t>
        </is>
      </c>
      <c r="B8" s="7" t="n">
        <v>24.95</v>
      </c>
      <c r="C8" s="7" t="n">
        <v>4.41</v>
      </c>
      <c r="D8" s="7" t="n">
        <v>25</v>
      </c>
      <c r="E8" s="22" t="n">
        <v>-20.54</v>
      </c>
    </row>
    <row r="9">
      <c r="A9" s="12" t="inlineStr">
        <is>
          <t>AISS</t>
        </is>
      </c>
      <c r="B9" s="17" t="n">
        <v>46.53</v>
      </c>
      <c r="C9" s="17" t="n">
        <v>80.31</v>
      </c>
      <c r="D9" s="17" t="n">
        <v>25</v>
      </c>
      <c r="E9" s="20" t="n">
        <v>33.79</v>
      </c>
    </row>
    <row r="11">
      <c r="A11" s="28" t="inlineStr">
        <is>
          <t>PAIRS (within combined book)</t>
        </is>
      </c>
    </row>
    <row r="12">
      <c r="A12" s="9" t="inlineStr">
        <is>
          <t>Pair</t>
        </is>
      </c>
      <c r="B12" s="9" t="inlineStr">
        <is>
          <t>Risk Contribution %</t>
        </is>
      </c>
    </row>
    <row r="13">
      <c r="A13" s="10" t="inlineStr">
        <is>
          <t>KLAC/REGN</t>
        </is>
      </c>
      <c r="B13" s="7" t="n">
        <v>48.85</v>
      </c>
    </row>
    <row r="14">
      <c r="A14" s="12" t="inlineStr">
        <is>
          <t>KLAC/LOW</t>
        </is>
      </c>
      <c r="B14" s="17" t="n">
        <v>30.04</v>
      </c>
    </row>
    <row r="15">
      <c r="A15" s="10" t="inlineStr">
        <is>
          <t>LRCX/BSX</t>
        </is>
      </c>
      <c r="B15" s="7" t="n">
        <v>5.18</v>
      </c>
    </row>
    <row r="16">
      <c r="A16" s="12" t="inlineStr">
        <is>
          <t>LRCX/RMD</t>
        </is>
      </c>
      <c r="B16" s="17" t="n">
        <v>4.46</v>
      </c>
    </row>
    <row r="17">
      <c r="A17" s="10" t="inlineStr">
        <is>
          <t>STLD/HII</t>
        </is>
      </c>
      <c r="B17" s="7" t="n">
        <v>1.78</v>
      </c>
    </row>
    <row r="18">
      <c r="A18" s="12" t="inlineStr">
        <is>
          <t>STLD/ISRG</t>
        </is>
      </c>
      <c r="B18" s="17" t="n">
        <v>1.7</v>
      </c>
    </row>
    <row r="19">
      <c r="A19" s="10" t="inlineStr">
        <is>
          <t>BWA/CME</t>
        </is>
      </c>
      <c r="B19" s="7" t="n">
        <v>1.39</v>
      </c>
    </row>
    <row r="20">
      <c r="A20" s="12" t="inlineStr">
        <is>
          <t>NUE/INTU</t>
        </is>
      </c>
      <c r="B20" s="17" t="n">
        <v>1.37</v>
      </c>
    </row>
    <row r="21">
      <c r="A21" s="10" t="inlineStr">
        <is>
          <t>NUE/MKTX</t>
        </is>
      </c>
      <c r="B21" s="7" t="n">
        <v>1.33</v>
      </c>
    </row>
    <row r="22">
      <c r="A22" s="12" t="inlineStr">
        <is>
          <t>CSCO/CAG</t>
        </is>
      </c>
      <c r="B22" s="17" t="n">
        <v>1.15</v>
      </c>
    </row>
    <row r="23">
      <c r="A23" s="10" t="inlineStr">
        <is>
          <t>FFIV/VLTO</t>
        </is>
      </c>
      <c r="B23" s="7" t="n">
        <v>0.9399999999999999</v>
      </c>
    </row>
    <row r="24">
      <c r="A24" s="12" t="inlineStr">
        <is>
          <t>CI/MTD</t>
        </is>
      </c>
      <c r="B24" s="17" t="n">
        <v>0.6</v>
      </c>
    </row>
    <row r="25">
      <c r="A25" s="10" t="inlineStr">
        <is>
          <t>BWA/VLTO</t>
        </is>
      </c>
      <c r="B25" s="7" t="n">
        <v>0.42</v>
      </c>
    </row>
    <row r="26">
      <c r="A26" s="12" t="inlineStr">
        <is>
          <t>ODFL/JKHY</t>
        </is>
      </c>
      <c r="B26" s="17" t="n">
        <v>0.4</v>
      </c>
    </row>
    <row r="27">
      <c r="A27" s="10" t="inlineStr">
        <is>
          <t>CSCO/REGN</t>
        </is>
      </c>
      <c r="B27" s="7" t="n">
        <v>0.39</v>
      </c>
    </row>
  </sheetData>
  <mergeCells count="1">
    <mergeCell ref="A1:F1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cols>
    <col width="11" customWidth="1" min="1" max="1"/>
    <col width="11" customWidth="1" min="2" max="2"/>
    <col width="8" customWidth="1" min="3" max="3"/>
    <col width="8" customWidth="1" min="4" max="4"/>
    <col width="6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FACTOR ATTRIBUTION — FF5 + UMD 归因 (Fama-French; Carhart)</t>
        </is>
      </c>
    </row>
    <row r="2">
      <c r="A2" s="2" t="inlineStr">
        <is>
          <t>Fama-French (1993,2015); Carhart (1997)  ·  source=french  ·  short-sample (live ITD); t-stats indicative</t>
        </is>
      </c>
    </row>
    <row r="4">
      <c r="A4" s="9" t="inlineStr">
        <is>
          <t>Scope</t>
        </is>
      </c>
      <c r="B4" s="9" t="inlineStr">
        <is>
          <t>Annual α %</t>
        </is>
      </c>
      <c r="C4" s="9" t="inlineStr">
        <is>
          <t>α t</t>
        </is>
      </c>
      <c r="D4" s="9" t="inlineStr">
        <is>
          <t>R²</t>
        </is>
      </c>
      <c r="E4" s="9" t="inlineStr">
        <is>
          <t>n</t>
        </is>
      </c>
      <c r="F4" s="9" t="inlineStr">
        <is>
          <t>MKT</t>
        </is>
      </c>
      <c r="G4" s="9" t="inlineStr">
        <is>
          <t>SMB</t>
        </is>
      </c>
      <c r="H4" s="9" t="inlineStr">
        <is>
          <t>HML</t>
        </is>
      </c>
      <c r="I4" s="9" t="inlineStr">
        <is>
          <t>RMW</t>
        </is>
      </c>
      <c r="J4" s="9" t="inlineStr">
        <is>
          <t>CMA</t>
        </is>
      </c>
      <c r="K4" s="9" t="inlineStr">
        <is>
          <t>UMD</t>
        </is>
      </c>
    </row>
    <row r="5">
      <c r="A5" s="10" t="inlineStr">
        <is>
          <t>COMBINED</t>
        </is>
      </c>
      <c r="B5" s="21" t="n">
        <v>38.94</v>
      </c>
      <c r="C5" s="7" t="n">
        <v>2.6</v>
      </c>
      <c r="D5" s="7" t="n">
        <v>0.07099999999999999</v>
      </c>
      <c r="E5" s="7" t="n">
        <v>116</v>
      </c>
      <c r="F5" s="7" t="inlineStr">
        <is>
          <t>0.003 (t=0.04)</t>
        </is>
      </c>
      <c r="G5" s="7" t="inlineStr">
        <is>
          <t>-0.075 (t=-0.55)</t>
        </is>
      </c>
      <c r="H5" s="7" t="inlineStr">
        <is>
          <t>0.073 (t=0.6)</t>
        </is>
      </c>
      <c r="I5" s="7" t="inlineStr">
        <is>
          <t>0.094 (t=0.83)</t>
        </is>
      </c>
      <c r="J5" s="7" t="inlineStr">
        <is>
          <t>-0.11 (t=-0.62)</t>
        </is>
      </c>
      <c r="K5" s="7" t="inlineStr">
        <is>
          <t>-0.11 (t=-1.72)</t>
        </is>
      </c>
    </row>
    <row r="6">
      <c r="A6" s="12" t="inlineStr">
        <is>
          <t>MRPT</t>
        </is>
      </c>
      <c r="B6" s="20" t="n">
        <v>47.74</v>
      </c>
      <c r="C6" s="17" t="n">
        <v>1.95</v>
      </c>
      <c r="D6" s="17" t="n">
        <v>0.059</v>
      </c>
      <c r="E6" s="17" t="n">
        <v>116</v>
      </c>
      <c r="F6" s="17" t="inlineStr">
        <is>
          <t>0.059 (t=0.41)</t>
        </is>
      </c>
      <c r="G6" s="17" t="inlineStr">
        <is>
          <t>-0.119 (t=-0.54)</t>
        </is>
      </c>
      <c r="H6" s="17" t="inlineStr">
        <is>
          <t>-0.059 (t=-0.3)</t>
        </is>
      </c>
      <c r="I6" s="17" t="inlineStr">
        <is>
          <t>0.244 (t=1.32)</t>
        </is>
      </c>
      <c r="J6" s="17" t="inlineStr">
        <is>
          <t>-0.208 (t=-0.72)</t>
        </is>
      </c>
      <c r="K6" s="17" t="inlineStr">
        <is>
          <t>-0.141 (t=-1.36)</t>
        </is>
      </c>
    </row>
    <row r="7">
      <c r="A7" s="10" t="inlineStr">
        <is>
          <t>MTFS</t>
        </is>
      </c>
      <c r="B7" s="21" t="n">
        <v>29.07</v>
      </c>
      <c r="C7" s="7" t="n">
        <v>1.03</v>
      </c>
      <c r="D7" s="7" t="n">
        <v>0.036</v>
      </c>
      <c r="E7" s="7" t="n">
        <v>116</v>
      </c>
      <c r="F7" s="7" t="inlineStr">
        <is>
          <t>-0.073 (t=-0.44)</t>
        </is>
      </c>
      <c r="G7" s="7" t="inlineStr">
        <is>
          <t>0.001 (t=0.0)</t>
        </is>
      </c>
      <c r="H7" s="7" t="inlineStr">
        <is>
          <t>0.234 (t=1.03)</t>
        </is>
      </c>
      <c r="I7" s="7" t="inlineStr">
        <is>
          <t>-0.106 (t=-0.5)</t>
        </is>
      </c>
      <c r="J7" s="7" t="inlineStr">
        <is>
          <t>0.023 (t=0.07)</t>
        </is>
      </c>
      <c r="K7" s="7" t="inlineStr">
        <is>
          <t>-0.064 (t=-0.53)</t>
        </is>
      </c>
    </row>
  </sheetData>
  <mergeCells count="1">
    <mergeCell ref="A1:K1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cols>
    <col width="11" customWidth="1" min="1" max="1"/>
    <col width="11" customWidth="1" min="2" max="2"/>
    <col width="9" customWidth="1" min="3" max="3"/>
    <col width="10" customWidth="1" min="4" max="4"/>
    <col width="9" customWidth="1" min="5" max="5"/>
    <col width="9" customWidth="1" min="6" max="6"/>
    <col width="8" customWidth="1" min="7" max="7"/>
    <col width="9" customWidth="1" min="8" max="8"/>
    <col width="9" customWidth="1" min="9" max="9"/>
    <col width="10" customWidth="1" min="10" max="10"/>
  </cols>
  <sheetData>
    <row r="1">
      <c r="A1" s="1" t="inlineStr">
        <is>
          <t>RETURN DISTRIBUTION &amp; TAIL — 分布/肥尾/PSR/CDaR/Kelly</t>
        </is>
      </c>
    </row>
    <row r="3">
      <c r="A3" s="9" t="inlineStr">
        <is>
          <t>Scope</t>
        </is>
      </c>
      <c r="B3" s="9" t="inlineStr">
        <is>
          <t>Skew</t>
        </is>
      </c>
      <c r="C3" s="9" t="inlineStr">
        <is>
          <t>ExKurt</t>
        </is>
      </c>
      <c r="D3" s="9" t="inlineStr">
        <is>
          <t>JB p</t>
        </is>
      </c>
      <c r="E3" s="9" t="inlineStr">
        <is>
          <t>NormRej</t>
        </is>
      </c>
      <c r="F3" s="9" t="inlineStr">
        <is>
          <t>VaR95 norm%</t>
        </is>
      </c>
      <c r="G3" s="9" t="inlineStr">
        <is>
          <t>VaR95 CF%</t>
        </is>
      </c>
      <c r="H3" s="9" t="inlineStr">
        <is>
          <t>TailUnder%</t>
        </is>
      </c>
    </row>
    <row r="4">
      <c r="A4" s="10" t="inlineStr">
        <is>
          <t>COMBINED</t>
        </is>
      </c>
      <c r="B4" s="7" t="n">
        <v>3.753</v>
      </c>
      <c r="C4" s="7" t="n">
        <v>32.903</v>
      </c>
      <c r="D4" s="7" t="n">
        <v>0</v>
      </c>
      <c r="E4" s="7" t="b">
        <v>1</v>
      </c>
      <c r="F4" s="7" t="n">
        <v>1.695</v>
      </c>
      <c r="G4" s="7" t="n">
        <v>1.695</v>
      </c>
      <c r="H4" s="7" t="n">
        <v>0</v>
      </c>
    </row>
    <row r="5">
      <c r="A5" s="12" t="inlineStr">
        <is>
          <t>MRPT</t>
        </is>
      </c>
      <c r="B5" s="17" t="n">
        <v>-0.444</v>
      </c>
      <c r="C5" s="17" t="n">
        <v>2.457</v>
      </c>
      <c r="D5" s="17" t="n">
        <v>0</v>
      </c>
      <c r="E5" s="17" t="b">
        <v>1</v>
      </c>
      <c r="F5" s="17" t="n">
        <v>1.602</v>
      </c>
      <c r="G5" s="17" t="n">
        <v>1.677</v>
      </c>
      <c r="H5" s="17" t="n">
        <v>0.075</v>
      </c>
    </row>
    <row r="6">
      <c r="A6" s="10" t="inlineStr">
        <is>
          <t>MTFS</t>
        </is>
      </c>
      <c r="B6" s="7" t="n">
        <v>5.354</v>
      </c>
      <c r="C6" s="7" t="n">
        <v>49.32</v>
      </c>
      <c r="D6" s="7" t="n">
        <v>0</v>
      </c>
      <c r="E6" s="7" t="b">
        <v>1</v>
      </c>
      <c r="F6" s="7" t="n">
        <v>3.752</v>
      </c>
      <c r="G6" s="7" t="n">
        <v>3.752</v>
      </c>
      <c r="H6" s="7" t="n">
        <v>0</v>
      </c>
    </row>
    <row r="8">
      <c r="A8" s="9" t="inlineStr">
        <is>
          <t>Scope</t>
        </is>
      </c>
      <c r="B8" s="9" t="inlineStr">
        <is>
          <t>Sharpe(ann)</t>
        </is>
      </c>
      <c r="C8" s="9" t="inlineStr">
        <is>
          <t>PSR(&gt;0)</t>
        </is>
      </c>
      <c r="D8" s="9" t="inlineStr">
        <is>
          <t>minTRL(d)</t>
        </is>
      </c>
      <c r="E8" s="9" t="inlineStr">
        <is>
          <t>CDaR95%</t>
        </is>
      </c>
      <c r="F8" s="9" t="inlineStr">
        <is>
          <t>MaxDD%</t>
        </is>
      </c>
      <c r="G8" s="9" t="inlineStr">
        <is>
          <t>TUW%</t>
        </is>
      </c>
      <c r="H8" s="9" t="inlineStr">
        <is>
          <t>Kelly f*</t>
        </is>
      </c>
      <c r="I8" s="9" t="inlineStr">
        <is>
          <t>Kelly½</t>
        </is>
      </c>
      <c r="J8" s="9" t="inlineStr">
        <is>
          <t>ActualLev</t>
        </is>
      </c>
    </row>
    <row r="9">
      <c r="A9" s="10" t="inlineStr">
        <is>
          <t>COMBINED</t>
        </is>
      </c>
      <c r="B9" s="7" t="n">
        <v>1.91</v>
      </c>
      <c r="C9" s="7" t="n">
        <v>0.9616</v>
      </c>
      <c r="D9" s="7" t="n">
        <v>127</v>
      </c>
      <c r="E9" s="7" t="n">
        <v>8.609999999999999</v>
      </c>
      <c r="F9" s="7" t="n">
        <v>9.470000000000001</v>
      </c>
      <c r="G9" s="7" t="n">
        <v>75.7</v>
      </c>
      <c r="H9" s="7" t="n">
        <v>9.220000000000001</v>
      </c>
      <c r="I9" s="7" t="n">
        <v>4.61</v>
      </c>
      <c r="J9" s="7" t="n">
        <v>4.313</v>
      </c>
    </row>
    <row r="10">
      <c r="A10" s="12" t="inlineStr">
        <is>
          <t>MRPT</t>
        </is>
      </c>
      <c r="B10" s="17" t="n">
        <v>1.351</v>
      </c>
      <c r="C10" s="17" t="n">
        <v>0.8427</v>
      </c>
      <c r="D10" s="17" t="n">
        <v>392</v>
      </c>
      <c r="E10" s="17" t="n">
        <v>8.65</v>
      </c>
      <c r="F10" s="17" t="n">
        <v>9.550000000000001</v>
      </c>
      <c r="G10" s="17" t="n">
        <v>76.40000000000001</v>
      </c>
      <c r="H10" s="17" t="n">
        <v>6.41</v>
      </c>
      <c r="I10" s="17" t="n">
        <v>3.2</v>
      </c>
      <c r="J10" s="17" t="n">
        <v>0.321</v>
      </c>
    </row>
    <row r="11">
      <c r="A11" s="10" t="inlineStr">
        <is>
          <t>MTFS</t>
        </is>
      </c>
      <c r="B11" s="7" t="n">
        <v>1.365</v>
      </c>
      <c r="C11" s="7" t="n">
        <v>0.904</v>
      </c>
      <c r="D11" s="7" t="n">
        <v>233</v>
      </c>
      <c r="E11" s="7" t="n">
        <v>15.04</v>
      </c>
      <c r="F11" s="7" t="n">
        <v>16.75</v>
      </c>
      <c r="G11" s="7" t="n">
        <v>79.09999999999999</v>
      </c>
      <c r="H11" s="7" t="n">
        <v>3.23</v>
      </c>
      <c r="I11" s="7" t="n">
        <v>1.62</v>
      </c>
      <c r="J11" s="7" t="n">
        <v>8.584</v>
      </c>
    </row>
  </sheetData>
  <mergeCells count="1">
    <mergeCell ref="A1:J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2026-06-24T22:50:24Z</dcterms:created>
  <dcterms:modified xmlns:dcterms="http://purl.org/dc/terms/" xmlns:xsi="http://www.w3.org/2001/XMLSchema-instance" xsi:type="dcterms:W3CDTF">2026-06-24T22:50:24Z</dcterms:modified>
</cp:coreProperties>
</file>